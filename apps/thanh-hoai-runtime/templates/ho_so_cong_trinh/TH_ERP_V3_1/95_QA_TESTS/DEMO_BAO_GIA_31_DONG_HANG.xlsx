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f035e4272142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O_GIA" sheetId="1" r:id="R3d4ad5a3efc64a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#"/>
    <x:numFmt numFmtId="201" formatCode="#,##0 &quot;đ&quot;"/>
    <x:numFmt numFmtId="202" formatCode="0%"/>
  </x:numFmts>
  <x:fonts count="14">
    <x:font>
      <x:sz val="11"/>
      <x:name val="Carlito"/>
    </x:font>
    <x:font>
      <x:b/>
      <x:sz val="14"/>
      <x:color rgb="FF17365D"/>
      <x:name val="Carlito"/>
    </x:font>
    <x:font>
      <x:b/>
      <x:sz val="15"/>
      <x:color rgb="FF17365D"/>
      <x:name val="Carlito"/>
    </x:font>
    <x:font>
      <x:sz val="10"/>
      <x:color rgb="FF1F2937"/>
      <x:name val="Carlito"/>
    </x:font>
    <x:font>
      <x:b/>
      <x:sz val="10"/>
      <x:color rgb="FF1F2937"/>
      <x:name val="Carlito"/>
    </x:font>
    <x:font>
      <x:b/>
      <x:sz val="10"/>
      <x:color rgb="FF0B7285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0"/>
      <x:color rgb="FF17365D"/>
      <x:name val="Carlito"/>
    </x:font>
    <x:font>
      <x:b/>
      <x:sz val="11"/>
      <x:color rgb="FF1F2937"/>
      <x:name val="Carlito"/>
    </x:font>
    <x:font>
      <x:b/>
      <x:sz val="12"/>
      <x:color rgb="FF17365D"/>
      <x:name val="Carlito"/>
    </x:font>
    <x:font>
      <x:b/>
      <x:i/>
      <x:sz val="10"/>
      <x:color rgb="FF1F2937"/>
      <x:name val="Carlito"/>
    </x:font>
    <x:font>
      <x:i/>
      <x:sz val="10"/>
      <x:color rgb="FF1F2937"/>
      <x:name val="Carlito"/>
    </x:font>
    <x:font>
      <x:i/>
      <x:sz val="8"/>
      <x:color rgb="FF6B728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EAF3F8"/>
      </x:patternFill>
    </x:fill>
    <x:fill>
      <x:patternFill patternType="solid">
        <x:fgColor rgb="FFE7F6E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5D6"/>
      </x:patternFill>
    </x:fill>
  </x:fills>
  <x:borders count="12">
    <x:border/>
    <x:border/>
    <x:border>
      <x:bottom/>
    </x:border>
    <x:border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4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right" vertical="center" wrapText="1"/>
    </x:xf>
    <x:xf numFmtId="0" fontId="3" fillId="0" borderId="1" xfId="0" applyNumberFormat="1" applyFont="1" applyFill="1" applyBorder="1" applyAlignment="1">
      <x:alignment horizontal="right"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horizontal="right"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horizontal="right"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4" fillId="2" borderId="5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right" vertical="center" wrapText="1"/>
    </x:xf>
    <x:xf numFmtId="0" fontId="7" fillId="0" borderId="1" xfId="0" applyNumberFormat="1" applyFont="1" applyFill="1" applyBorder="1" applyAlignment="1">
      <x:alignment horizontal="right" vertical="center" wrapText="1"/>
    </x:xf>
    <x:xf numFmtId="200" fontId="7" fillId="0" borderId="0" xfId="0" applyNumberFormat="1" applyFont="1" applyFill="1" applyBorder="1" applyAlignment="1">
      <x:alignment horizontal="center" vertical="center" wrapText="1"/>
    </x:xf>
    <x:xf numFmtId="200" fontId="7" fillId="0" borderId="1" xfId="0" applyNumberFormat="1" applyFont="1" applyFill="1" applyBorder="1" applyAlignment="1">
      <x:alignment horizontal="center" vertical="center" wrapText="1"/>
    </x:xf>
    <x:xf numFmtId="201" fontId="7" fillId="0" borderId="0" xfId="0" applyNumberFormat="1" applyFont="1" applyFill="1" applyBorder="1" applyAlignment="1">
      <x:alignment horizontal="right" vertical="center" wrapText="1"/>
    </x:xf>
    <x:xf numFmtId="201" fontId="7" fillId="0" borderId="1" xfId="0" applyNumberFormat="1" applyFont="1" applyFill="1" applyBorder="1" applyAlignment="1">
      <x:alignment horizontal="right" vertical="center" wrapText="1"/>
    </x:xf>
    <x:xf numFmtId="202" fontId="7" fillId="0" borderId="0" xfId="0" applyNumberFormat="1" applyFont="1" applyFill="1" applyBorder="1" applyAlignment="1">
      <x:alignment horizontal="right" vertical="center" wrapText="1"/>
    </x:xf>
    <x:xf numFmtId="202" fontId="7" fillId="0" borderId="1" xfId="0" applyNumberFormat="1" applyFont="1" applyFill="1" applyBorder="1" applyAlignment="1">
      <x:alignment horizontal="right" vertical="center" wrapText="1"/>
    </x:xf>
    <x:xf numFmtId="0" fontId="7" fillId="0" borderId="4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200" fontId="7" fillId="0" borderId="4" xfId="0" applyNumberFormat="1" applyFont="1" applyFill="1" applyBorder="1" applyAlignment="1">
      <x:alignment horizontal="center" vertical="center" wrapText="1"/>
    </x:xf>
    <x:xf numFmtId="201" fontId="7" fillId="0" borderId="4" xfId="0" applyNumberFormat="1" applyFont="1" applyFill="1" applyBorder="1" applyAlignment="1">
      <x:alignment horizontal="right" vertical="center" wrapText="1"/>
    </x:xf>
    <x:xf numFmtId="202" fontId="7" fillId="0" borderId="4" xfId="0" applyNumberFormat="1" applyFont="1" applyFill="1" applyBorder="1" applyAlignment="1">
      <x:alignment horizontal="right" vertical="center" wrapText="1"/>
    </x:xf>
    <x:xf numFmtId="0" fontId="7" fillId="0" borderId="5" xfId="0" applyNumberFormat="1" applyFont="1" applyFill="1" applyBorder="1" applyAlignment="1">
      <x:alignment horizontal="center"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200" fontId="7" fillId="0" borderId="5" xfId="0" applyNumberFormat="1" applyFont="1" applyFill="1" applyBorder="1" applyAlignment="1">
      <x:alignment horizontal="center" vertical="center" wrapText="1"/>
    </x:xf>
    <x:xf numFmtId="201" fontId="7" fillId="0" borderId="5" xfId="0" applyNumberFormat="1" applyFont="1" applyFill="1" applyBorder="1" applyAlignment="1">
      <x:alignment horizontal="right" vertical="center" wrapText="1"/>
    </x:xf>
    <x:xf numFmtId="202" fontId="7" fillId="0" borderId="5" xfId="0" applyNumberFormat="1" applyFont="1" applyFill="1" applyBorder="1" applyAlignment="1">
      <x:alignment horizontal="right" vertical="center" wrapText="1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vertical="center"/>
    </x:xf>
    <x:xf numFmtId="0" fontId="8" fillId="2" borderId="8" xfId="0" applyNumberFormat="1" applyFont="1" applyFill="1" applyBorder="1" applyAlignment="1">
      <x:alignment vertical="center"/>
    </x:xf>
    <x:xf numFmtId="0" fontId="8" fillId="2" borderId="9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vertical="center"/>
    </x:xf>
    <x:xf numFmtId="0" fontId="10" fillId="5" borderId="1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1" fontId="10" fillId="5" borderId="0" xfId="0" applyNumberFormat="1" applyFont="1" applyFill="1" applyBorder="1" applyAlignment="1">
      <x:alignment vertical="center"/>
    </x:xf>
    <x:xf numFmtId="201" fontId="9" fillId="0" borderId="1" xfId="0" applyNumberFormat="1" applyFont="1" applyFill="1" applyBorder="1" applyAlignment="1">
      <x:alignment vertical="center"/>
    </x:xf>
    <x:xf numFmtId="201" fontId="10" fillId="5" borderId="1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horizontal="right" vertical="center"/>
    </x:xf>
    <x:xf numFmtId="201" fontId="10" fillId="5" borderId="0" xfId="0" applyNumberFormat="1" applyFont="1" applyFill="1" applyBorder="1" applyAlignment="1">
      <x:alignment horizontal="right" vertical="center"/>
    </x:xf>
    <x:xf numFmtId="201" fontId="9" fillId="0" borderId="1" xfId="0" applyNumberFormat="1" applyFont="1" applyFill="1" applyBorder="1" applyAlignment="1">
      <x:alignment horizontal="right" vertical="center"/>
    </x:xf>
    <x:xf numFmtId="201" fontId="10" fillId="5" borderId="1" xfId="0" applyNumberFormat="1" applyFont="1" applyFill="1" applyBorder="1" applyAlignment="1">
      <x:alignment horizontal="right" vertical="center"/>
    </x:xf>
    <x:xf numFmtId="0" fontId="9" fillId="2" borderId="8" xfId="0" applyNumberFormat="1" applyFont="1" applyFill="1" applyBorder="1" applyAlignment="1">
      <x:alignment vertical="center"/>
    </x:xf>
    <x:xf numFmtId="201" fontId="9" fillId="0" borderId="8" xfId="0" applyNumberFormat="1" applyFont="1" applyFill="1" applyBorder="1" applyAlignment="1">
      <x:alignment horizontal="right" vertical="center"/>
    </x:xf>
    <x:xf numFmtId="0" fontId="10" fillId="5" borderId="8" xfId="0" applyNumberFormat="1" applyFont="1" applyFill="1" applyBorder="1" applyAlignment="1">
      <x:alignment vertical="center"/>
    </x:xf>
    <x:xf numFmtId="201" fontId="10" fillId="5" borderId="8" xfId="0" applyNumberFormat="1" applyFont="1" applyFill="1" applyBorder="1" applyAlignment="1">
      <x:alignment horizontal="right" vertical="center"/>
    </x:xf>
    <x:xf numFmtId="0" fontId="9" fillId="2" borderId="9" xfId="0" applyNumberFormat="1" applyFont="1" applyFill="1" applyBorder="1" applyAlignment="1">
      <x:alignment vertical="center"/>
    </x:xf>
    <x:xf numFmtId="201" fontId="9" fillId="0" borderId="9" xfId="0" applyNumberFormat="1" applyFont="1" applyFill="1" applyBorder="1" applyAlignment="1">
      <x:alignment horizontal="right" vertical="center"/>
    </x:xf>
    <x:xf numFmtId="0" fontId="10" fillId="5" borderId="9" xfId="0" applyNumberFormat="1" applyFont="1" applyFill="1" applyBorder="1" applyAlignment="1">
      <x:alignment vertical="center"/>
    </x:xf>
    <x:xf numFmtId="201" fontId="10" fillId="5" borderId="9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11" fillId="6" borderId="1" xfId="0" applyNumberFormat="1" applyFont="1" applyFill="1" applyBorder="1"/>
    <x:xf numFmtId="0" fontId="11" fillId="6" borderId="1" xfId="0" applyNumberFormat="1" applyFont="1" applyFill="1" applyBorder="1" applyAlignment="1">
      <x:alignment wrapText="1"/>
    </x:xf>
    <x:xf numFmtId="0" fontId="11" fillId="6" borderId="1" xfId="0" applyNumberFormat="1" applyFont="1" applyFill="1" applyBorder="1" applyAlignment="1">
      <x:alignment vertical="center" wrapText="1"/>
    </x:xf>
    <x:xf numFmtId="0" fontId="11" fillId="6" borderId="10" xfId="0" applyNumberFormat="1" applyFont="1" applyFill="1" applyBorder="1" applyAlignment="1">
      <x:alignment vertical="center" wrapText="1"/>
    </x:xf>
    <x:xf numFmtId="0" fontId="11" fillId="6" borderId="1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horizontal="center"/>
    </x:xf>
    <x:xf numFmtId="0" fontId="12" fillId="0" borderId="1" xfId="0" applyNumberFormat="1" applyFont="1" applyFill="1" applyBorder="1"/>
    <x:xf numFmtId="0" fontId="12" fillId="0" borderId="1" xfId="0" applyNumberFormat="1" applyFont="1" applyFill="1" applyBorder="1" applyAlignment="1">
      <x:alignment horizont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506fa2330644a9" /><Relationship Type="http://schemas.openxmlformats.org/officeDocument/2006/relationships/theme" Target="/xl/theme/theme1.xml" Id="R87c2ddf6c74f4406" /><Relationship Type="http://schemas.openxmlformats.org/officeDocument/2006/relationships/sharedStrings" Target="/xl/sharedStrings.xml" Id="R7f0b958946fb47ff" /><Relationship Type="http://schemas.openxmlformats.org/officeDocument/2006/relationships/worksheet" Target="/xl/worksheets/sheet1.xml" Id="R3d4ad5a3efc64a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3" hidden="0" customWidth="1"/>
    <x:col min="3" max="3" width="31" hidden="0" customWidth="1"/>
    <x:col min="4" max="4" width="27" hidden="0" customWidth="1"/>
    <x:col min="5" max="5" width="8" hidden="0" customWidth="1"/>
    <x:col min="6" max="6" width="11" hidden="0" customWidth="1"/>
    <x:col min="7" max="7" width="15" hidden="0" customWidth="1"/>
    <x:col min="8" max="8" width="9" hidden="0" customWidth="1"/>
    <x:col min="9" max="9" width="17" hidden="0" customWidth="1"/>
  </x:cols>
  <x:sheetData>
    <x:row r="1" ht="31" customHeight="1">
      <x:c r="A1" s="3" t="str">
        <x:v>CÔNG TY TNHH MTV CƠ ĐIỆN LẠNH THANH HOÀI</x:v>
      </x:c>
      <x:c r="B1" s="3"/>
      <x:c r="C1" s="3"/>
      <x:c r="D1" s="3"/>
      <x:c r="E1" s="3"/>
      <x:c r="F1" s="9" t="str">
        <x:v>BÁO GIÁ ĐA NĂNG — DEMO 31 DÒNG HÀNG</x:v>
      </x:c>
      <x:c r="G1" s="9"/>
      <x:c r="H1" s="9"/>
      <x:c r="I1" s="9"/>
    </x:row>
    <x:row r="2">
      <x:c r="A2" s="16" t="str">
        <x:v>448/3, Tổ 16, KP 2, Phường Long Hưng, Đồng Nai, Việt Nam</x:v>
      </x:c>
      <x:c r="B2" s="16"/>
      <x:c r="C2" s="16"/>
      <x:c r="D2" s="16"/>
      <x:c r="E2" s="16"/>
      <x:c r="F2" s="20" t="str">
        <x:v>Số báo giá: {{quote_no}}</x:v>
      </x:c>
      <x:c r="G2" s="20"/>
      <x:c r="H2" s="20"/>
      <x:c r="I2" s="20"/>
    </x:row>
    <x:row r="3">
      <x:c r="A3" s="16" t="str">
        <x:v>MST: 3602504881  |  ĐT: 0251 3835 395</x:v>
      </x:c>
      <x:c r="B3" s="16"/>
      <x:c r="C3" s="16"/>
      <x:c r="D3" s="16"/>
      <x:c r="E3" s="16"/>
      <x:c r="F3" s="20" t="str">
        <x:v>Ngày báo giá: {{quote_date}}</x:v>
      </x:c>
      <x:c r="G3" s="20"/>
      <x:c r="H3" s="20"/>
      <x:c r="I3" s="20"/>
    </x:row>
    <x:row r="4">
      <x:c r="A4" s="22" t="str">
        <x:v>Email: dienlanhthanhhoai@gmail.com</x:v>
      </x:c>
      <x:c r="B4" s="22"/>
      <x:c r="C4" s="22"/>
      <x:c r="D4" s="22"/>
      <x:c r="E4" s="22"/>
      <x:c r="F4" s="23" t="str">
        <x:v>Hiệu lực: {{valid_days}} ngày</x:v>
      </x:c>
      <x:c r="G4" s="23"/>
      <x:c r="H4" s="23"/>
      <x:c r="I4" s="23"/>
    </x:row>
    <x:row r="6" ht="23" customHeight="1">
      <x:c r="A6" s="30" t="str">
        <x:v>KÍNH GỬI</x:v>
      </x:c>
      <x:c r="B6" s="31" t="str">
        <x:v>{{customer_name}}</x:v>
      </x:c>
      <x:c r="C6" s="31"/>
      <x:c r="D6" s="31"/>
      <x:c r="E6" s="31"/>
      <x:c r="F6" s="30" t="str">
        <x:v>MST</x:v>
      </x:c>
      <x:c r="G6" s="31" t="str">
        <x:v>{{customer_tax_id}}</x:v>
      </x:c>
      <x:c r="H6" s="31"/>
      <x:c r="I6" s="31"/>
    </x:row>
    <x:row r="7" ht="23" customHeight="1">
      <x:c r="A7" s="30" t="str">
        <x:v>ĐỊA CHỈ</x:v>
      </x:c>
      <x:c r="B7" s="31" t="str">
        <x:v>{{customer_address}}</x:v>
      </x:c>
      <x:c r="C7" s="31"/>
      <x:c r="D7" s="31"/>
      <x:c r="E7" s="31"/>
      <x:c r="F7" s="30" t="str">
        <x:v>LIÊN HỆ</x:v>
      </x:c>
      <x:c r="G7" s="31" t="str">
        <x:v>{{contact_person}}</x:v>
      </x:c>
      <x:c r="H7" s="31"/>
      <x:c r="I7" s="31"/>
    </x:row>
    <x:row r="8" ht="23" customHeight="1">
      <x:c r="A8" s="30" t="str">
        <x:v>CÔNG TRÌNH</x:v>
      </x:c>
      <x:c r="B8" s="31" t="str">
        <x:v>{{project_name}}</x:v>
      </x:c>
      <x:c r="C8" s="31"/>
      <x:c r="D8" s="31"/>
      <x:c r="E8" s="31"/>
      <x:c r="F8" s="30" t="str">
        <x:v>ĐỊA ĐIỂM</x:v>
      </x:c>
      <x:c r="G8" s="31" t="str">
        <x:v>{{project_location}}</x:v>
      </x:c>
      <x:c r="H8" s="31"/>
      <x:c r="I8" s="31"/>
    </x:row>
    <x:row r="9" ht="23" customHeight="1">
      <x:c r="A9" s="30" t="str">
        <x:v>BG/HĐ GỐC</x:v>
      </x:c>
      <x:c r="B9" s="31" t="str">
        <x:v>{{reference_no}}</x:v>
      </x:c>
      <x:c r="C9" s="31"/>
      <x:c r="D9" s="31"/>
      <x:c r="E9" s="31"/>
      <x:c r="F9" s="30" t="str">
        <x:v>MÃ ERP</x:v>
      </x:c>
      <x:c r="G9" s="31" t="str">
        <x:v>{{quotation_id}}</x:v>
      </x:c>
      <x:c r="H9" s="31"/>
      <x:c r="I9" s="31"/>
    </x:row>
    <x:row r="11" ht="28" customHeight="1">
      <x:c r="A11" s="42" t="str">
        <x:v>PHẠM VI: Minh họa dòng hàng động: có 31 vật tư thì hiển thị đúng 31 dòng, không có dòng trống cố định.</x:v>
      </x:c>
      <x:c r="B11" s="42"/>
      <x:c r="C11" s="42"/>
      <x:c r="D11" s="42"/>
      <x:c r="E11" s="42"/>
      <x:c r="F11" s="42"/>
      <x:c r="G11" s="42"/>
      <x:c r="H11" s="42"/>
      <x:c r="I11" s="42"/>
    </x:row>
    <x:row r="13" ht="24" customHeight="1">
      <x:c r="A13" s="47" t="str">
        <x:v>CHI TIẾT HÀNG HÓA / VẬT TƯ / HẠNG MỤC</x:v>
      </x:c>
      <x:c r="B13" s="47"/>
      <x:c r="C13" s="47"/>
      <x:c r="D13" s="47"/>
      <x:c r="E13" s="47"/>
      <x:c r="F13" s="47"/>
      <x:c r="G13" s="47"/>
      <x:c r="H13" s="47"/>
      <x:c r="I13" s="47"/>
    </x:row>
    <x:row r="14" ht="34" customHeight="1">
      <x:c r="A14" s="62" t="str">
        <x:v>STT</x:v>
      </x:c>
      <x:c r="B14" s="62" t="str">
        <x:v>MÃ / NHÓM</x:v>
      </x:c>
      <x:c r="C14" s="62" t="str">
        <x:v>TÊN HÀNG HÓA / HẠNG MỤC</x:v>
      </x:c>
      <x:c r="D14" s="62" t="str">
        <x:v>QUY CÁCH / HÃNG / MODEL</x:v>
      </x:c>
      <x:c r="E14" s="62" t="str">
        <x:v>ĐVT</x:v>
      </x:c>
      <x:c r="F14" s="62" t="str">
        <x:v>SỐ LƯỢNG</x:v>
      </x:c>
      <x:c r="G14" s="62" t="str">
        <x:v>ĐƠN GIÁ</x:v>
      </x:c>
      <x:c r="H14" s="62" t="str">
        <x:v>VAT %</x:v>
      </x:c>
      <x:c r="I14" s="62" t="str">
        <x:v>THÀNH TIỀN</x:v>
      </x:c>
    </x:row>
    <x:row r="15" ht="29" customHeight="1">
      <x:c r="A15" s="80" t="n">
        <x:v>1</x:v>
      </x:c>
      <x:c r="B15" s="80" t="str">
        <x:v>VT-001-01</x:v>
      </x:c>
      <x:c r="C15" s="81" t="str">
        <x:v>Ống đồng môi chất lạnh Ø9.5</x:v>
      </x:c>
      <x:c r="D15" s="81" t="str">
        <x:v>Đồng chuyên dụng HVAC, đúng chiều dày tiêu chuẩn</x:v>
      </x:c>
      <x:c r="E15" s="80" t="str">
        <x:v>m</x:v>
      </x:c>
      <x:c r="F15" s="82" t="n">
        <x:v>274</x:v>
      </x:c>
      <x:c r="G15" s="83" t="n">
        <x:v>178000</x:v>
      </x:c>
      <x:c r="H15" s="84" t="n">
        <x:v>0.1</x:v>
      </x:c>
      <x:c r="I15" s="83" t="n">
        <x:f>IFERROR(F15*G15*(1+IF(H15="",0,H15)),0)</x:f>
        <x:v>53649200.00000001</x:v>
      </x:c>
    </x:row>
    <x:row r="16" ht="29" customHeight="1">
      <x:c r="A16" s="80" t="n">
        <x:v>2</x:v>
      </x:c>
      <x:c r="B16" s="80" t="str">
        <x:v>VT-002-02</x:v>
      </x:c>
      <x:c r="C16" s="81" t="str">
        <x:v>Ống đồng môi chất lạnh Ø19.1</x:v>
      </x:c>
      <x:c r="D16" s="81" t="str">
        <x:v>Đồng chuyên dụng HVAC</x:v>
      </x:c>
      <x:c r="E16" s="80" t="str">
        <x:v>m</x:v>
      </x:c>
      <x:c r="F16" s="82" t="n">
        <x:v>211</x:v>
      </x:c>
      <x:c r="G16" s="83" t="n">
        <x:v>356000</x:v>
      </x:c>
      <x:c r="H16" s="84" t="n">
        <x:v>0.1</x:v>
      </x:c>
      <x:c r="I16" s="83" t="n">
        <x:f>IFERROR(F16*G16*(1+IF(H16="",0,H16)),0)</x:f>
        <x:v>82627600</x:v>
      </x:c>
    </x:row>
    <x:row r="17" ht="29" customHeight="1">
      <x:c r="A17" s="80" t="n">
        <x:v>3</x:v>
      </x:c>
      <x:c r="B17" s="80" t="str">
        <x:v>VT-003-03</x:v>
      </x:c>
      <x:c r="C17" s="81" t="str">
        <x:v>Bảo ôn ống đồng D27</x:v>
      </x:c>
      <x:c r="D17" s="81" t="str">
        <x:v>Superlon hoặc tương đương</x:v>
      </x:c>
      <x:c r="E17" s="80" t="str">
        <x:v>m</x:v>
      </x:c>
      <x:c r="F17" s="82" t="n">
        <x:v>562</x:v>
      </x:c>
      <x:c r="G17" s="83" t="n">
        <x:v>42000</x:v>
      </x:c>
      <x:c r="H17" s="84" t="n">
        <x:v>0.1</x:v>
      </x:c>
      <x:c r="I17" s="83" t="n">
        <x:f>IFERROR(F17*G17*(1+IF(H17="",0,H17)),0)</x:f>
        <x:v>25964400.000000004</x:v>
      </x:c>
    </x:row>
    <x:row r="18" ht="29" customHeight="1">
      <x:c r="A18" s="80" t="n">
        <x:v>4</x:v>
      </x:c>
      <x:c r="B18" s="80" t="str">
        <x:v>VT-004-04</x:v>
      </x:c>
      <x:c r="C18" s="81" t="str">
        <x:v>Ống gió tôn mạ kẽm</x:v>
      </x:c>
      <x:c r="D18" s="81" t="str">
        <x:v>Theo kích thước và chiều dày bản vẽ</x:v>
      </x:c>
      <x:c r="E18" s="80" t="str">
        <x:v>m²</x:v>
      </x:c>
      <x:c r="F18" s="82" t="n">
        <x:v>4439</x:v>
      </x:c>
      <x:c r="G18" s="83" t="n">
        <x:v>295000</x:v>
      </x:c>
      <x:c r="H18" s="84" t="n">
        <x:v>0.1</x:v>
      </x:c>
      <x:c r="I18" s="83" t="n">
        <x:f>IFERROR(F18*G18*(1+IF(H18="",0,H18)),0)</x:f>
        <x:v>1440455500</x:v>
      </x:c>
    </x:row>
    <x:row r="19" ht="29" customHeight="1">
      <x:c r="A19" s="80" t="n">
        <x:v>5</x:v>
      </x:c>
      <x:c r="B19" s="80" t="str">
        <x:v>VT-005-05</x:v>
      </x:c>
      <x:c r="C19" s="81" t="str">
        <x:v>Máng đi ống gas</x:v>
      </x:c>
      <x:c r="D19" s="81" t="str">
        <x:v>Tôn sơn tĩnh điện</x:v>
      </x:c>
      <x:c r="E19" s="80" t="str">
        <x:v>m</x:v>
      </x:c>
      <x:c r="F19" s="82" t="n">
        <x:v>56</x:v>
      </x:c>
      <x:c r="G19" s="83" t="n">
        <x:v>185000</x:v>
      </x:c>
      <x:c r="H19" s="84" t="n">
        <x:v>0.1</x:v>
      </x:c>
      <x:c r="I19" s="83" t="n">
        <x:f>IFERROR(F19*G19*(1+IF(H19="",0,H19)),0)</x:f>
        <x:v>11396000</x:v>
      </x:c>
    </x:row>
    <x:row r="20" ht="29" customHeight="1">
      <x:c r="A20" s="80" t="n">
        <x:v>6</x:v>
      </x:c>
      <x:c r="B20" s="80" t="str">
        <x:v>VT-006-06</x:v>
      </x:c>
      <x:c r="C20" s="81" t="str">
        <x:v>Ty ren M10</x:v>
      </x:c>
      <x:c r="D20" s="81" t="str">
        <x:v>Mạ kẽm, đủ tán và long đền</x:v>
      </x:c>
      <x:c r="E20" s="80" t="str">
        <x:v>thanh</x:v>
      </x:c>
      <x:c r="F20" s="82" t="n">
        <x:v>279</x:v>
      </x:c>
      <x:c r="G20" s="83" t="n">
        <x:v>48000</x:v>
      </x:c>
      <x:c r="H20" s="84" t="n">
        <x:v>0.1</x:v>
      </x:c>
      <x:c r="I20" s="83" t="n">
        <x:f>IFERROR(F20*G20*(1+IF(H20="",0,H20)),0)</x:f>
        <x:v>14731200.000000002</x:v>
      </x:c>
    </x:row>
    <x:row r="21" ht="29" customHeight="1">
      <x:c r="A21" s="80" t="n">
        <x:v>7</x:v>
      </x:c>
      <x:c r="B21" s="80" t="str">
        <x:v>VT-007-07</x:v>
      </x:c>
      <x:c r="C21" s="81" t="str">
        <x:v>Băng keo bạc</x:v>
      </x:c>
      <x:c r="D21" s="81" t="str">
        <x:v>50 mm x 50 m</x:v>
      </x:c>
      <x:c r="E21" s="80" t="str">
        <x:v>cuộn</x:v>
      </x:c>
      <x:c r="F21" s="82" t="n">
        <x:v>66</x:v>
      </x:c>
      <x:c r="G21" s="83" t="n">
        <x:v>69000</x:v>
      </x:c>
      <x:c r="H21" s="84" t="n">
        <x:v>0.1</x:v>
      </x:c>
      <x:c r="I21" s="83" t="n">
        <x:f>IFERROR(F21*G21*(1+IF(H21="",0,H21)),0)</x:f>
        <x:v>5009400</x:v>
      </x:c>
    </x:row>
    <x:row r="22" ht="29" customHeight="1">
      <x:c r="A22" s="80" t="n">
        <x:v>8</x:v>
      </x:c>
      <x:c r="B22" s="80" t="str">
        <x:v>VT-008-08</x:v>
      </x:c>
      <x:c r="C22" s="81" t="str">
        <x:v>Silicone chịu nhiệt</x:v>
      </x:c>
      <x:c r="D22" s="81" t="str">
        <x:v>Dùng cho hệ thống ống gió</x:v>
      </x:c>
      <x:c r="E22" s="80" t="str">
        <x:v>chai</x:v>
      </x:c>
      <x:c r="F22" s="82" t="n">
        <x:v>37</x:v>
      </x:c>
      <x:c r="G22" s="83" t="n">
        <x:v>95000</x:v>
      </x:c>
      <x:c r="H22" s="84" t="n">
        <x:v>0.1</x:v>
      </x:c>
      <x:c r="I22" s="83" t="n">
        <x:f>IFERROR(F22*G22*(1+IF(H22="",0,H22)),0)</x:f>
        <x:v>3866500.0000000005</x:v>
      </x:c>
    </x:row>
    <x:row r="23" ht="29" customHeight="1">
      <x:c r="A23" s="80" t="n">
        <x:v>9</x:v>
      </x:c>
      <x:c r="B23" s="80" t="str">
        <x:v>VT-009-09</x:v>
      </x:c>
      <x:c r="C23" s="81" t="str">
        <x:v>Dây điện điều khiển</x:v>
      </x:c>
      <x:c r="D23" s="81" t="str">
        <x:v>CV 2x1.5 mm²</x:v>
      </x:c>
      <x:c r="E23" s="80" t="str">
        <x:v>m</x:v>
      </x:c>
      <x:c r="F23" s="82" t="n">
        <x:v>3650</x:v>
      </x:c>
      <x:c r="G23" s="83" t="n">
        <x:v>18500</x:v>
      </x:c>
      <x:c r="H23" s="84" t="n">
        <x:v>0.08</x:v>
      </x:c>
      <x:c r="I23" s="83" t="n">
        <x:f>IFERROR(F23*G23*(1+IF(H23="",0,H23)),0)</x:f>
        <x:v>72927000</x:v>
      </x:c>
    </x:row>
    <x:row r="24" ht="29" customHeight="1">
      <x:c r="A24" s="80" t="n">
        <x:v>10</x:v>
      </x:c>
      <x:c r="B24" s="80" t="str">
        <x:v>VT-010-10</x:v>
      </x:c>
      <x:c r="C24" s="81" t="str">
        <x:v>Ống nước ngưng PVC Ø21</x:v>
      </x:c>
      <x:c r="D24" s="81" t="str">
        <x:v>Bình Minh/Tiền Phong hoặc tương đương</x:v>
      </x:c>
      <x:c r="E24" s="80" t="str">
        <x:v>m</x:v>
      </x:c>
      <x:c r="F24" s="82" t="n">
        <x:v>469</x:v>
      </x:c>
      <x:c r="G24" s="83" t="n">
        <x:v>38000</x:v>
      </x:c>
      <x:c r="H24" s="84" t="n">
        <x:v>0.08</x:v>
      </x:c>
      <x:c r="I24" s="83" t="n">
        <x:f>IFERROR(F24*G24*(1+IF(H24="",0,H24)),0)</x:f>
        <x:v>19247760</x:v>
      </x:c>
    </x:row>
    <x:row r="25" ht="29" customHeight="1">
      <x:c r="A25" s="80" t="n">
        <x:v>11</x:v>
      </x:c>
      <x:c r="B25" s="80" t="str">
        <x:v>VT-001-11</x:v>
      </x:c>
      <x:c r="C25" s="81" t="str">
        <x:v>Ống đồng môi chất lạnh Ø9.5</x:v>
      </x:c>
      <x:c r="D25" s="81" t="str">
        <x:v>Đồng chuyên dụng HVAC, đúng chiều dày tiêu chuẩn</x:v>
      </x:c>
      <x:c r="E25" s="80" t="str">
        <x:v>m</x:v>
      </x:c>
      <x:c r="F25" s="82" t="n">
        <x:v>280</x:v>
      </x:c>
      <x:c r="G25" s="83" t="n">
        <x:v>178000</x:v>
      </x:c>
      <x:c r="H25" s="84" t="n">
        <x:v>0.1</x:v>
      </x:c>
      <x:c r="I25" s="83" t="n">
        <x:f>IFERROR(F25*G25*(1+IF(H25="",0,H25)),0)</x:f>
        <x:v>54824000.00000001</x:v>
      </x:c>
    </x:row>
    <x:row r="26" ht="29" customHeight="1">
      <x:c r="A26" s="80" t="n">
        <x:v>12</x:v>
      </x:c>
      <x:c r="B26" s="80" t="str">
        <x:v>VT-002-12</x:v>
      </x:c>
      <x:c r="C26" s="81" t="str">
        <x:v>Ống đồng môi chất lạnh Ø19.1</x:v>
      </x:c>
      <x:c r="D26" s="81" t="str">
        <x:v>Đồng chuyên dụng HVAC</x:v>
      </x:c>
      <x:c r="E26" s="80" t="str">
        <x:v>m</x:v>
      </x:c>
      <x:c r="F26" s="82" t="n">
        <x:v>217</x:v>
      </x:c>
      <x:c r="G26" s="83" t="n">
        <x:v>356000</x:v>
      </x:c>
      <x:c r="H26" s="84" t="n">
        <x:v>0.1</x:v>
      </x:c>
      <x:c r="I26" s="83" t="n">
        <x:f>IFERROR(F26*G26*(1+IF(H26="",0,H26)),0)</x:f>
        <x:v>84977200</x:v>
      </x:c>
    </x:row>
    <x:row r="27" ht="29" customHeight="1">
      <x:c r="A27" s="80" t="n">
        <x:v>13</x:v>
      </x:c>
      <x:c r="B27" s="80" t="str">
        <x:v>VT-003-13</x:v>
      </x:c>
      <x:c r="C27" s="81" t="str">
        <x:v>Bảo ôn ống đồng D27</x:v>
      </x:c>
      <x:c r="D27" s="81" t="str">
        <x:v>Superlon hoặc tương đương</x:v>
      </x:c>
      <x:c r="E27" s="80" t="str">
        <x:v>m</x:v>
      </x:c>
      <x:c r="F27" s="82" t="n">
        <x:v>556</x:v>
      </x:c>
      <x:c r="G27" s="83" t="n">
        <x:v>42000</x:v>
      </x:c>
      <x:c r="H27" s="84" t="n">
        <x:v>0.1</x:v>
      </x:c>
      <x:c r="I27" s="83" t="n">
        <x:f>IFERROR(F27*G27*(1+IF(H27="",0,H27)),0)</x:f>
        <x:v>25687200.000000004</x:v>
      </x:c>
    </x:row>
    <x:row r="28" ht="29" customHeight="1">
      <x:c r="A28" s="80" t="n">
        <x:v>14</x:v>
      </x:c>
      <x:c r="B28" s="80" t="str">
        <x:v>VT-004-14</x:v>
      </x:c>
      <x:c r="C28" s="81" t="str">
        <x:v>Ống gió tôn mạ kẽm</x:v>
      </x:c>
      <x:c r="D28" s="81" t="str">
        <x:v>Theo kích thước và chiều dày bản vẽ</x:v>
      </x:c>
      <x:c r="E28" s="80" t="str">
        <x:v>m²</x:v>
      </x:c>
      <x:c r="F28" s="82" t="n">
        <x:v>4433</x:v>
      </x:c>
      <x:c r="G28" s="83" t="n">
        <x:v>295000</x:v>
      </x:c>
      <x:c r="H28" s="84" t="n">
        <x:v>0.1</x:v>
      </x:c>
      <x:c r="I28" s="83" t="n">
        <x:f>IFERROR(F28*G28*(1+IF(H28="",0,H28)),0)</x:f>
        <x:v>1438508500</x:v>
      </x:c>
    </x:row>
    <x:row r="29" ht="29" customHeight="1">
      <x:c r="A29" s="80" t="n">
        <x:v>15</x:v>
      </x:c>
      <x:c r="B29" s="80" t="str">
        <x:v>VT-005-15</x:v>
      </x:c>
      <x:c r="C29" s="81" t="str">
        <x:v>Máng đi ống gas</x:v>
      </x:c>
      <x:c r="D29" s="81" t="str">
        <x:v>Tôn sơn tĩnh điện</x:v>
      </x:c>
      <x:c r="E29" s="80" t="str">
        <x:v>m</x:v>
      </x:c>
      <x:c r="F29" s="82" t="n">
        <x:v>62</x:v>
      </x:c>
      <x:c r="G29" s="83" t="n">
        <x:v>185000</x:v>
      </x:c>
      <x:c r="H29" s="84" t="n">
        <x:v>0.1</x:v>
      </x:c>
      <x:c r="I29" s="83" t="n">
        <x:f>IFERROR(F29*G29*(1+IF(H29="",0,H29)),0)</x:f>
        <x:v>12617000.000000002</x:v>
      </x:c>
    </x:row>
    <x:row r="30" ht="29" customHeight="1">
      <x:c r="A30" s="80" t="n">
        <x:v>16</x:v>
      </x:c>
      <x:c r="B30" s="80" t="str">
        <x:v>VT-006-16</x:v>
      </x:c>
      <x:c r="C30" s="81" t="str">
        <x:v>Ty ren M10</x:v>
      </x:c>
      <x:c r="D30" s="81" t="str">
        <x:v>Mạ kẽm, đủ tán và long đền</x:v>
      </x:c>
      <x:c r="E30" s="80" t="str">
        <x:v>thanh</x:v>
      </x:c>
      <x:c r="F30" s="82" t="n">
        <x:v>285</x:v>
      </x:c>
      <x:c r="G30" s="83" t="n">
        <x:v>48000</x:v>
      </x:c>
      <x:c r="H30" s="84" t="n">
        <x:v>0.1</x:v>
      </x:c>
      <x:c r="I30" s="83" t="n">
        <x:f>IFERROR(F30*G30*(1+IF(H30="",0,H30)),0)</x:f>
        <x:v>15048000.000000002</x:v>
      </x:c>
    </x:row>
    <x:row r="31" ht="29" customHeight="1">
      <x:c r="A31" s="80" t="n">
        <x:v>17</x:v>
      </x:c>
      <x:c r="B31" s="80" t="str">
        <x:v>VT-007-17</x:v>
      </x:c>
      <x:c r="C31" s="81" t="str">
        <x:v>Băng keo bạc</x:v>
      </x:c>
      <x:c r="D31" s="81" t="str">
        <x:v>50 mm x 50 m</x:v>
      </x:c>
      <x:c r="E31" s="80" t="str">
        <x:v>cuộn</x:v>
      </x:c>
      <x:c r="F31" s="82" t="n">
        <x:v>60</x:v>
      </x:c>
      <x:c r="G31" s="83" t="n">
        <x:v>69000</x:v>
      </x:c>
      <x:c r="H31" s="84" t="n">
        <x:v>0.1</x:v>
      </x:c>
      <x:c r="I31" s="83" t="n">
        <x:f>IFERROR(F31*G31*(1+IF(H31="",0,H31)),0)</x:f>
        <x:v>4554000</x:v>
      </x:c>
    </x:row>
    <x:row r="32" ht="29" customHeight="1">
      <x:c r="A32" s="80" t="n">
        <x:v>18</x:v>
      </x:c>
      <x:c r="B32" s="80" t="str">
        <x:v>VT-008-18</x:v>
      </x:c>
      <x:c r="C32" s="81" t="str">
        <x:v>Silicone chịu nhiệt</x:v>
      </x:c>
      <x:c r="D32" s="81" t="str">
        <x:v>Dùng cho hệ thống ống gió</x:v>
      </x:c>
      <x:c r="E32" s="80" t="str">
        <x:v>chai</x:v>
      </x:c>
      <x:c r="F32" s="82" t="n">
        <x:v>31</x:v>
      </x:c>
      <x:c r="G32" s="83" t="n">
        <x:v>95000</x:v>
      </x:c>
      <x:c r="H32" s="84" t="n">
        <x:v>0.1</x:v>
      </x:c>
      <x:c r="I32" s="83" t="n">
        <x:f>IFERROR(F32*G32*(1+IF(H32="",0,H32)),0)</x:f>
        <x:v>3239500.0000000005</x:v>
      </x:c>
    </x:row>
    <x:row r="33" ht="29" customHeight="1">
      <x:c r="A33" s="80" t="n">
        <x:v>19</x:v>
      </x:c>
      <x:c r="B33" s="80" t="str">
        <x:v>VT-009-19</x:v>
      </x:c>
      <x:c r="C33" s="81" t="str">
        <x:v>Dây điện điều khiển</x:v>
      </x:c>
      <x:c r="D33" s="81" t="str">
        <x:v>CV 2x1.5 mm²</x:v>
      </x:c>
      <x:c r="E33" s="80" t="str">
        <x:v>m</x:v>
      </x:c>
      <x:c r="F33" s="82" t="n">
        <x:v>3656</x:v>
      </x:c>
      <x:c r="G33" s="83" t="n">
        <x:v>18500</x:v>
      </x:c>
      <x:c r="H33" s="84" t="n">
        <x:v>0.08</x:v>
      </x:c>
      <x:c r="I33" s="83" t="n">
        <x:f>IFERROR(F33*G33*(1+IF(H33="",0,H33)),0)</x:f>
        <x:v>73046880</x:v>
      </x:c>
    </x:row>
    <x:row r="34" ht="29" customHeight="1">
      <x:c r="A34" s="80" t="n">
        <x:v>20</x:v>
      </x:c>
      <x:c r="B34" s="80" t="str">
        <x:v>VT-010-20</x:v>
      </x:c>
      <x:c r="C34" s="81" t="str">
        <x:v>Ống nước ngưng PVC Ø21</x:v>
      </x:c>
      <x:c r="D34" s="81" t="str">
        <x:v>Bình Minh/Tiền Phong hoặc tương đương</x:v>
      </x:c>
      <x:c r="E34" s="80" t="str">
        <x:v>m</x:v>
      </x:c>
      <x:c r="F34" s="82" t="n">
        <x:v>475</x:v>
      </x:c>
      <x:c r="G34" s="83" t="n">
        <x:v>38000</x:v>
      </x:c>
      <x:c r="H34" s="84" t="n">
        <x:v>0.08</x:v>
      </x:c>
      <x:c r="I34" s="83" t="n">
        <x:f>IFERROR(F34*G34*(1+IF(H34="",0,H34)),0)</x:f>
        <x:v>19494000</x:v>
      </x:c>
    </x:row>
    <x:row r="35" ht="29" customHeight="1">
      <x:c r="A35" s="80" t="n">
        <x:v>21</x:v>
      </x:c>
      <x:c r="B35" s="80" t="str">
        <x:v>VT-001-21</x:v>
      </x:c>
      <x:c r="C35" s="81" t="str">
        <x:v>Ống đồng môi chất lạnh Ø9.5</x:v>
      </x:c>
      <x:c r="D35" s="81" t="str">
        <x:v>Đồng chuyên dụng HVAC, đúng chiều dày tiêu chuẩn</x:v>
      </x:c>
      <x:c r="E35" s="80" t="str">
        <x:v>m</x:v>
      </x:c>
      <x:c r="F35" s="82" t="n">
        <x:v>274</x:v>
      </x:c>
      <x:c r="G35" s="83" t="n">
        <x:v>178000</x:v>
      </x:c>
      <x:c r="H35" s="84" t="n">
        <x:v>0.1</x:v>
      </x:c>
      <x:c r="I35" s="83" t="n">
        <x:f>IFERROR(F35*G35*(1+IF(H35="",0,H35)),0)</x:f>
        <x:v>53649200.00000001</x:v>
      </x:c>
    </x:row>
    <x:row r="36" ht="29" customHeight="1">
      <x:c r="A36" s="80" t="n">
        <x:v>22</x:v>
      </x:c>
      <x:c r="B36" s="80" t="str">
        <x:v>VT-002-22</x:v>
      </x:c>
      <x:c r="C36" s="81" t="str">
        <x:v>Ống đồng môi chất lạnh Ø19.1</x:v>
      </x:c>
      <x:c r="D36" s="81" t="str">
        <x:v>Đồng chuyên dụng HVAC</x:v>
      </x:c>
      <x:c r="E36" s="80" t="str">
        <x:v>m</x:v>
      </x:c>
      <x:c r="F36" s="82" t="n">
        <x:v>211</x:v>
      </x:c>
      <x:c r="G36" s="83" t="n">
        <x:v>356000</x:v>
      </x:c>
      <x:c r="H36" s="84" t="n">
        <x:v>0.1</x:v>
      </x:c>
      <x:c r="I36" s="83" t="n">
        <x:f>IFERROR(F36*G36*(1+IF(H36="",0,H36)),0)</x:f>
        <x:v>82627600</x:v>
      </x:c>
    </x:row>
    <x:row r="37" ht="29" customHeight="1">
      <x:c r="A37" s="80" t="n">
        <x:v>23</x:v>
      </x:c>
      <x:c r="B37" s="80" t="str">
        <x:v>VT-003-23</x:v>
      </x:c>
      <x:c r="C37" s="81" t="str">
        <x:v>Bảo ôn ống đồng D27</x:v>
      </x:c>
      <x:c r="D37" s="81" t="str">
        <x:v>Superlon hoặc tương đương</x:v>
      </x:c>
      <x:c r="E37" s="80" t="str">
        <x:v>m</x:v>
      </x:c>
      <x:c r="F37" s="82" t="n">
        <x:v>562</x:v>
      </x:c>
      <x:c r="G37" s="83" t="n">
        <x:v>42000</x:v>
      </x:c>
      <x:c r="H37" s="84" t="n">
        <x:v>0.1</x:v>
      </x:c>
      <x:c r="I37" s="83" t="n">
        <x:f>IFERROR(F37*G37*(1+IF(H37="",0,H37)),0)</x:f>
        <x:v>25964400.000000004</x:v>
      </x:c>
    </x:row>
    <x:row r="38" ht="29" customHeight="1">
      <x:c r="A38" s="80" t="n">
        <x:v>24</x:v>
      </x:c>
      <x:c r="B38" s="80" t="str">
        <x:v>VT-004-24</x:v>
      </x:c>
      <x:c r="C38" s="81" t="str">
        <x:v>Ống gió tôn mạ kẽm</x:v>
      </x:c>
      <x:c r="D38" s="81" t="str">
        <x:v>Theo kích thước và chiều dày bản vẽ</x:v>
      </x:c>
      <x:c r="E38" s="80" t="str">
        <x:v>m²</x:v>
      </x:c>
      <x:c r="F38" s="82" t="n">
        <x:v>4439</x:v>
      </x:c>
      <x:c r="G38" s="83" t="n">
        <x:v>295000</x:v>
      </x:c>
      <x:c r="H38" s="84" t="n">
        <x:v>0.1</x:v>
      </x:c>
      <x:c r="I38" s="83" t="n">
        <x:f>IFERROR(F38*G38*(1+IF(H38="",0,H38)),0)</x:f>
        <x:v>1440455500</x:v>
      </x:c>
    </x:row>
    <x:row r="39" ht="29" customHeight="1">
      <x:c r="A39" s="80" t="n">
        <x:v>25</x:v>
      </x:c>
      <x:c r="B39" s="80" t="str">
        <x:v>VT-005-25</x:v>
      </x:c>
      <x:c r="C39" s="81" t="str">
        <x:v>Máng đi ống gas</x:v>
      </x:c>
      <x:c r="D39" s="81" t="str">
        <x:v>Tôn sơn tĩnh điện</x:v>
      </x:c>
      <x:c r="E39" s="80" t="str">
        <x:v>m</x:v>
      </x:c>
      <x:c r="F39" s="82" t="n">
        <x:v>56</x:v>
      </x:c>
      <x:c r="G39" s="83" t="n">
        <x:v>185000</x:v>
      </x:c>
      <x:c r="H39" s="84" t="n">
        <x:v>0.1</x:v>
      </x:c>
      <x:c r="I39" s="83" t="n">
        <x:f>IFERROR(F39*G39*(1+IF(H39="",0,H39)),0)</x:f>
        <x:v>11396000</x:v>
      </x:c>
    </x:row>
    <x:row r="40" ht="29" customHeight="1">
      <x:c r="A40" s="80" t="n">
        <x:v>26</x:v>
      </x:c>
      <x:c r="B40" s="80" t="str">
        <x:v>VT-006-26</x:v>
      </x:c>
      <x:c r="C40" s="81" t="str">
        <x:v>Ty ren M10</x:v>
      </x:c>
      <x:c r="D40" s="81" t="str">
        <x:v>Mạ kẽm, đủ tán và long đền</x:v>
      </x:c>
      <x:c r="E40" s="80" t="str">
        <x:v>thanh</x:v>
      </x:c>
      <x:c r="F40" s="82" t="n">
        <x:v>279</x:v>
      </x:c>
      <x:c r="G40" s="83" t="n">
        <x:v>48000</x:v>
      </x:c>
      <x:c r="H40" s="84" t="n">
        <x:v>0.1</x:v>
      </x:c>
      <x:c r="I40" s="83" t="n">
        <x:f>IFERROR(F40*G40*(1+IF(H40="",0,H40)),0)</x:f>
        <x:v>14731200.000000002</x:v>
      </x:c>
    </x:row>
    <x:row r="41" ht="29" customHeight="1">
      <x:c r="A41" s="80" t="n">
        <x:v>27</x:v>
      </x:c>
      <x:c r="B41" s="80" t="str">
        <x:v>VT-007-27</x:v>
      </x:c>
      <x:c r="C41" s="81" t="str">
        <x:v>Băng keo bạc</x:v>
      </x:c>
      <x:c r="D41" s="81" t="str">
        <x:v>50 mm x 50 m</x:v>
      </x:c>
      <x:c r="E41" s="80" t="str">
        <x:v>cuộn</x:v>
      </x:c>
      <x:c r="F41" s="82" t="n">
        <x:v>66</x:v>
      </x:c>
      <x:c r="G41" s="83" t="n">
        <x:v>69000</x:v>
      </x:c>
      <x:c r="H41" s="84" t="n">
        <x:v>0.1</x:v>
      </x:c>
      <x:c r="I41" s="83" t="n">
        <x:f>IFERROR(F41*G41*(1+IF(H41="",0,H41)),0)</x:f>
        <x:v>5009400</x:v>
      </x:c>
    </x:row>
    <x:row r="42" ht="29" customHeight="1">
      <x:c r="A42" s="80" t="n">
        <x:v>28</x:v>
      </x:c>
      <x:c r="B42" s="80" t="str">
        <x:v>VT-008-28</x:v>
      </x:c>
      <x:c r="C42" s="81" t="str">
        <x:v>Silicone chịu nhiệt</x:v>
      </x:c>
      <x:c r="D42" s="81" t="str">
        <x:v>Dùng cho hệ thống ống gió</x:v>
      </x:c>
      <x:c r="E42" s="80" t="str">
        <x:v>chai</x:v>
      </x:c>
      <x:c r="F42" s="82" t="n">
        <x:v>37</x:v>
      </x:c>
      <x:c r="G42" s="83" t="n">
        <x:v>95000</x:v>
      </x:c>
      <x:c r="H42" s="84" t="n">
        <x:v>0.1</x:v>
      </x:c>
      <x:c r="I42" s="83" t="n">
        <x:f>IFERROR(F42*G42*(1+IF(H42="",0,H42)),0)</x:f>
        <x:v>3866500.0000000005</x:v>
      </x:c>
    </x:row>
    <x:row r="43" ht="29" customHeight="1">
      <x:c r="A43" s="80" t="n">
        <x:v>29</x:v>
      </x:c>
      <x:c r="B43" s="80" t="str">
        <x:v>VT-009-29</x:v>
      </x:c>
      <x:c r="C43" s="81" t="str">
        <x:v>Dây điện điều khiển</x:v>
      </x:c>
      <x:c r="D43" s="81" t="str">
        <x:v>CV 2x1.5 mm²</x:v>
      </x:c>
      <x:c r="E43" s="80" t="str">
        <x:v>m</x:v>
      </x:c>
      <x:c r="F43" s="82" t="n">
        <x:v>3650</x:v>
      </x:c>
      <x:c r="G43" s="83" t="n">
        <x:v>18500</x:v>
      </x:c>
      <x:c r="H43" s="84" t="n">
        <x:v>0.08</x:v>
      </x:c>
      <x:c r="I43" s="83" t="n">
        <x:f>IFERROR(F43*G43*(1+IF(H43="",0,H43)),0)</x:f>
        <x:v>72927000</x:v>
      </x:c>
    </x:row>
    <x:row r="44" ht="29" customHeight="1">
      <x:c r="A44" s="80" t="n">
        <x:v>30</x:v>
      </x:c>
      <x:c r="B44" s="80" t="str">
        <x:v>VT-010-30</x:v>
      </x:c>
      <x:c r="C44" s="81" t="str">
        <x:v>Ống nước ngưng PVC Ø21</x:v>
      </x:c>
      <x:c r="D44" s="81" t="str">
        <x:v>Bình Minh/Tiền Phong hoặc tương đương</x:v>
      </x:c>
      <x:c r="E44" s="80" t="str">
        <x:v>m</x:v>
      </x:c>
      <x:c r="F44" s="82" t="n">
        <x:v>469</x:v>
      </x:c>
      <x:c r="G44" s="83" t="n">
        <x:v>38000</x:v>
      </x:c>
      <x:c r="H44" s="84" t="n">
        <x:v>0.08</x:v>
      </x:c>
      <x:c r="I44" s="83" t="n">
        <x:f>IFERROR(F44*G44*(1+IF(H44="",0,H44)),0)</x:f>
        <x:v>19247760</x:v>
      </x:c>
    </x:row>
    <x:row r="45" ht="29" customHeight="1">
      <x:c r="A45" s="80" t="n">
        <x:v>31</x:v>
      </x:c>
      <x:c r="B45" s="80" t="str">
        <x:v>VT-001-31</x:v>
      </x:c>
      <x:c r="C45" s="81" t="str">
        <x:v>Ống đồng môi chất lạnh Ø9.5</x:v>
      </x:c>
      <x:c r="D45" s="81" t="str">
        <x:v>Đồng chuyên dụng HVAC, đúng chiều dày tiêu chuẩn</x:v>
      </x:c>
      <x:c r="E45" s="80" t="str">
        <x:v>m</x:v>
      </x:c>
      <x:c r="F45" s="82" t="n">
        <x:v>280</x:v>
      </x:c>
      <x:c r="G45" s="83" t="n">
        <x:v>178000</x:v>
      </x:c>
      <x:c r="H45" s="84" t="n">
        <x:v>0.1</x:v>
      </x:c>
      <x:c r="I45" s="83" t="n">
        <x:f>IFERROR(F45*G45*(1+IF(H45="",0,H45)),0)</x:f>
        <x:v>54824000.00000001</x:v>
      </x:c>
    </x:row>
    <x:row r="47" ht="24" customHeight="1">
      <x:c r="A47" s="96" t="str">
        <x:v>GHI CHÚ / ĐIỀU KIỆN BÁO GIÁ</x:v>
      </x:c>
      <x:c r="B47" s="96"/>
      <x:c r="C47" s="96"/>
      <x:c r="D47" s="96"/>
      <x:c r="E47" s="96"/>
      <x:c r="F47" s="116" t="str">
        <x:v>TỔNG TRƯỚC VAT</x:v>
      </x:c>
      <x:c r="G47" s="116"/>
      <x:c r="H47" s="116"/>
      <x:c r="I47" s="117" t="n">
        <x:f>SUMPRODUCT(F15:F45,G15:G45)</x:f>
        <x:v>4774270000</x:v>
      </x:c>
    </x:row>
    <x:row r="48" ht="24" customHeight="1">
      <x:c r="A48" s="31" t="str">
        <x:v>- Khối lượng thanh quyết toán theo hồ sơ nghiệm thu thực tế, trừ khi có thỏa thuận trọn gói.</x:v>
      </x:c>
      <x:c r="B48" s="31"/>
      <x:c r="C48" s="31"/>
      <x:c r="D48" s="31"/>
      <x:c r="E48" s="31"/>
      <x:c r="F48" s="116" t="str">
        <x:v>CHIẾT KHẤU / ĐIỀU CHỈNH</x:v>
      </x:c>
      <x:c r="G48" s="116"/>
      <x:c r="H48" s="116"/>
      <x:c r="I48" s="117" t="n">
        <x:v>0</x:v>
      </x:c>
    </x:row>
    <x:row r="49" ht="24" customHeight="1">
      <x:c r="A49" s="31" t="str">
        <x:v>- Các công việc ngoài phạm vi phải được xác nhận bằng văn bản trước khi thực hiện.</x:v>
      </x:c>
      <x:c r="B49" s="31"/>
      <x:c r="C49" s="31"/>
      <x:c r="D49" s="31"/>
      <x:c r="E49" s="31"/>
      <x:c r="F49" s="116" t="str">
        <x:v>TỔNG TIỀN VAT</x:v>
      </x:c>
      <x:c r="G49" s="116"/>
      <x:c r="H49" s="116"/>
      <x:c r="I49" s="117" t="n">
        <x:f>SUMPRODUCT(F15:F45,G15:G45,H15:H45)</x:f>
        <x:v>472299400</x:v>
      </x:c>
    </x:row>
    <x:row r="50" ht="24" customHeight="1">
      <x:c r="A50" s="31" t="str">
        <x:v>- Điều kiện thanh toán: {{payment_terms}}.</x:v>
      </x:c>
      <x:c r="B50" s="31"/>
      <x:c r="C50" s="31"/>
      <x:c r="D50" s="31"/>
      <x:c r="E50" s="31"/>
      <x:c r="F50" s="118" t="str">
        <x:v>TỔNG THANH TOÁN</x:v>
      </x:c>
      <x:c r="G50" s="118"/>
      <x:c r="H50" s="118"/>
      <x:c r="I50" s="119" t="n">
        <x:f>I47-I48+I49</x:f>
        <x:v>5246569400</x:v>
      </x:c>
    </x:row>
    <x:row r="51" ht="27" customHeight="1">
      <x:c r="A51" s="132" t="str">
        <x:v>Bằng chữ: {{amount_in_words}}</x:v>
      </x:c>
      <x:c r="B51" s="132"/>
      <x:c r="C51" s="132"/>
      <x:c r="D51" s="132"/>
      <x:c r="E51" s="132"/>
      <x:c r="F51" s="132"/>
      <x:c r="G51" s="132"/>
      <x:c r="H51" s="132"/>
      <x:c r="I51" s="132"/>
    </x:row>
    <x:row r="54" ht="22" customHeight="1">
      <x:c r="A54" s="134" t="str">
        <x:v>ĐẠI DIỆN KHÁCH HÀNG</x:v>
      </x:c>
      <x:c r="B54" s="134"/>
      <x:c r="C54" s="134"/>
      <x:c r="D54" s="134"/>
      <x:c r="E54" s="134"/>
      <x:c r="F54" s="134" t="str">
        <x:v>GIÁM ĐỐC</x:v>
      </x:c>
      <x:c r="G54" s="134"/>
      <x:c r="H54" s="134"/>
      <x:c r="I54" s="134"/>
    </x:row>
    <x:row r="55" ht="22" customHeight="1">
      <x:c r="A55" s="137" t="str">
        <x:v>(Ký, ghi rõ họ tên, đóng dấu nếu có)</x:v>
      </x:c>
      <x:c r="B55" s="137"/>
      <x:c r="C55" s="137"/>
      <x:c r="D55" s="137"/>
      <x:c r="E55" s="137"/>
      <x:c r="F55" s="137" t="str">
        <x:v>PHAN TRẦN ANH QUÂN</x:v>
      </x:c>
      <x:c r="G55" s="137"/>
      <x:c r="H55" s="137"/>
      <x:c r="I55" s="137"/>
    </x:row>
    <x:row r="56" ht="22" customHeight="1"/>
    <x:row r="57" ht="22" customHeight="1"/>
    <x:row r="58" ht="22" customHeight="1"/>
    <x:row r="59" ht="22" customHeight="1"/>
    <x:row r="60" ht="22" customHeight="1"/>
    <x:row r="61">
      <x:c r="A61" s="142" t="str">
        <x:v>Template ID: DEMO_31_ITEMS | Hàng 15 là hàng mẫu động; App chèn đúng số dòng vật tư thực tế.</x:v>
      </x:c>
      <x:c r="B61" s="142"/>
      <x:c r="C61" s="142"/>
      <x:c r="D61" s="142"/>
      <x:c r="E61" s="142"/>
      <x:c r="F61" s="142"/>
      <x:c r="G61" s="142"/>
      <x:c r="H61" s="142"/>
      <x:c r="I61" s="142"/>
    </x:row>
  </x:sheetData>
  <x:mergeCells>
    <x:mergeCell ref="A1:E1"/>
    <x:mergeCell ref="F1:I1"/>
    <x:mergeCell ref="A2:E2"/>
    <x:mergeCell ref="F2:I2"/>
    <x:mergeCell ref="A3:E3"/>
    <x:mergeCell ref="F3:I3"/>
    <x:mergeCell ref="A4:E4"/>
    <x:mergeCell ref="F4:I4"/>
    <x:mergeCell ref="B6:E6"/>
    <x:mergeCell ref="G6:I6"/>
    <x:mergeCell ref="B7:E7"/>
    <x:mergeCell ref="G7:I7"/>
    <x:mergeCell ref="B8:E8"/>
    <x:mergeCell ref="G8:I8"/>
    <x:mergeCell ref="B9:E9"/>
    <x:mergeCell ref="G9:I9"/>
    <x:mergeCell ref="A11:I11"/>
    <x:mergeCell ref="A13:I13"/>
    <x:mergeCell ref="A47:E47"/>
    <x:mergeCell ref="A48:E48"/>
    <x:mergeCell ref="A49:E49"/>
    <x:mergeCell ref="A50:E50"/>
    <x:mergeCell ref="F47:H47"/>
    <x:mergeCell ref="F48:H48"/>
    <x:mergeCell ref="F49:H49"/>
    <x:mergeCell ref="F50:H50"/>
    <x:mergeCell ref="A51:I51"/>
    <x:mergeCell ref="A54:D54"/>
    <x:mergeCell ref="F54:I54"/>
    <x:mergeCell ref="A55:D55"/>
    <x:mergeCell ref="F55:I55"/>
    <x:mergeCell ref="A61:I61"/>
  </x:mergeCells>
  <x:dataValidations count="2">
    <x:dataValidation type="list" sqref="E15:E45">
      <x:formula1>"bộ,cái,máy,m,m²,m³,kg,lít,cuộn,thanh,ống,tấm,công,giờ,ngày,lần,trọn gói"</x:formula1>
    </x:dataValidation>
    <x:dataValidation type="list" sqref="H15:H45">
      <x:formula1>"0%,5%,8%,10%"</x:formula1>
    </x:dataValidation>
  </x:dataValidations>
  <x:pageMargins left="0.7" right="0.7" top="0.75" bottom="0.75" header="0.3" footer="0.3"/>
</x:worksheet>
</file>