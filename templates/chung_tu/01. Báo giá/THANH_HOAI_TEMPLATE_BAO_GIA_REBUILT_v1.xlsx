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Quản trị DOANH NGHIỆP\Mẫu chứng từ chuẩn\01. Báo giá\"/>
    </mc:Choice>
  </mc:AlternateContent>
  <xr:revisionPtr revIDLastSave="0" documentId="13_ncr:1_{89B345F4-02D6-44B6-929C-6EB08ED308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O_GIA_THANH_HOAI" sheetId="1" r:id="rId1"/>
    <sheet name="ERP_FIELD_MAP" sheetId="2" r:id="rId2"/>
    <sheet name="HUONG_DA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4" i="1" l="1"/>
  <c r="H43" i="1"/>
  <c r="H42" i="1"/>
  <c r="H41" i="1"/>
  <c r="H40" i="1"/>
  <c r="H39" i="1"/>
  <c r="H38" i="1"/>
  <c r="H37" i="1"/>
  <c r="H36" i="1"/>
  <c r="H35" i="1"/>
  <c r="H50" i="1" s="1"/>
  <c r="H31" i="1"/>
  <c r="H30" i="1"/>
  <c r="H29" i="1"/>
  <c r="H28" i="1"/>
  <c r="H27" i="1"/>
  <c r="H26" i="1"/>
  <c r="H25" i="1"/>
  <c r="H24" i="1"/>
  <c r="H23" i="1"/>
  <c r="H22" i="1"/>
  <c r="H46" i="1" s="1"/>
  <c r="H52" i="1" l="1"/>
  <c r="H53" i="1" s="1"/>
  <c r="H48" i="1"/>
  <c r="H49" i="1" s="1"/>
  <c r="H54" i="1" l="1"/>
</calcChain>
</file>

<file path=xl/sharedStrings.xml><?xml version="1.0" encoding="utf-8"?>
<sst xmlns="http://schemas.openxmlformats.org/spreadsheetml/2006/main" count="136" uniqueCount="115">
  <si>
    <t>CÔNG TY TNHH MTV CƠ ĐIỆN LẠNH THANH HOÀI</t>
  </si>
  <si>
    <t>MẪU BÁO GIÁ CHUẨN</t>
  </si>
  <si>
    <t>Địa chỉ: 448/3, Tổ 16, KP 2, Phường Long Hưng, TP Đồng Nai, Việt Nam</t>
  </si>
  <si>
    <t>Mã mẫu: TH-QT-01</t>
  </si>
  <si>
    <t>MST: 3602504881  |  ĐT: 0251 3835 395</t>
  </si>
  <si>
    <t>Phiên bản: v1.1 / ERP-ready</t>
  </si>
  <si>
    <t>Email: dienlanhthanhhoai@gmail.com</t>
  </si>
  <si>
    <t>Ngày ban hành: {{template_issue_date}}</t>
  </si>
  <si>
    <t>Số báo giá:</t>
  </si>
  <si>
    <t>{{quote_no}}</t>
  </si>
  <si>
    <t>Mã ERP:</t>
  </si>
  <si>
    <t>{{quotation_id}}</t>
  </si>
  <si>
    <t>BẢNG BÁO GIÁ</t>
  </si>
  <si>
    <t>Kính gửi Quý khách hàng, Công ty TNHH MTV Cơ Điện Lạnh Thanh Hoài trân trọng gửi đến Quý Công ty bảng báo giá chi tiết như sau:</t>
  </si>
  <si>
    <t>QUOTE NO / SỐ BG:</t>
  </si>
  <si>
    <t>TYPE OF QUOTE / LOẠI BG:</t>
  </si>
  <si>
    <t>{{quote_type}}</t>
  </si>
  <si>
    <t>DATE / NGÀY:</t>
  </si>
  <si>
    <t>{{quote_date}}</t>
  </si>
  <si>
    <t>CUSTOMER NAME / KHÁCH HÀNG:</t>
  </si>
  <si>
    <t>{{customer_name}}</t>
  </si>
  <si>
    <t>TAX CODE / MST:</t>
  </si>
  <si>
    <t>{{customer_tax_id}}</t>
  </si>
  <si>
    <t>ADDRESS / ĐỊA CHỈ:</t>
  </si>
  <si>
    <t>{{customer_address}}</t>
  </si>
  <si>
    <t>PROJECT / CÔNG TRÌNH:</t>
  </si>
  <si>
    <t>{{project_name}}</t>
  </si>
  <si>
    <t>HẠNG MỤC VAT 10%</t>
  </si>
  <si>
    <t>STT</t>
  </si>
  <si>
    <t>MÃ HÀNG</t>
  </si>
  <si>
    <t>TÊN SẢN PHẨM / HẠNG MỤC</t>
  </si>
  <si>
    <t>ĐVT</t>
  </si>
  <si>
    <t>SỐ LƯỢNG</t>
  </si>
  <si>
    <t>ĐƠN GIÁ</t>
  </si>
  <si>
    <t>CHIẾT KHẤU %</t>
  </si>
  <si>
    <t>THÀNH TIỀN</t>
  </si>
  <si>
    <t>GHI CHÚ</t>
  </si>
  <si>
    <t>HẠNG MỤC VAT 8%</t>
  </si>
  <si>
    <t>Ghi chú / Điều kiện báo giá</t>
  </si>
  <si>
    <t>Subtotal (VAT 10%)</t>
  </si>
  <si>
    <t>- Khối lượng vật tư được quyết toán theo khối lượng nghiệm thu thực tế.</t>
  </si>
  <si>
    <t>VAT %</t>
  </si>
  <si>
    <t>- Đơn giá có hiệu lực trong vòng {{valid_days}} ngày kể từ ngày báo giá.</t>
  </si>
  <si>
    <t>VAT Amount</t>
  </si>
  <si>
    <t>- Giá chưa bao gồm các hạng mục phát sinh ngoài phạm vi nếu chưa ghi rõ.</t>
  </si>
  <si>
    <t>Total VAT 10%</t>
  </si>
  <si>
    <t>- Thời gian thi công/giao hàng theo thỏa thuận và điều kiện mặt bằng thực tế.</t>
  </si>
  <si>
    <t>Subtotal (VAT 8%)</t>
  </si>
  <si>
    <t>- Điều kiện thanh toán: {{payment_terms}}.</t>
  </si>
  <si>
    <t>Bằng chữ: {{amount_in_words}}</t>
  </si>
  <si>
    <t>Total VAT 8%</t>
  </si>
  <si>
    <t>QUOTE TOTAL</t>
  </si>
  <si>
    <t>DUYỆT CHẤP THUẬN KHÁCH HÀNG</t>
  </si>
  <si>
    <t>GIÁM ĐỐC</t>
  </si>
  <si>
    <t>(Ký, ghi rõ họ tên, đóng dấu nếu có)</t>
  </si>
  <si>
    <t>PHAN TRẦN ANH QUÂN</t>
  </si>
  <si>
    <t>Lưu ý: Mẫu này dùng để nhập dữ liệu báo giá và có thể chuyển thành Print Format trong ERPNext/Frappe. Các ô {{...}} là placeholder map dữ liệu ERP.</t>
  </si>
  <si>
    <t>Vị trí trên mẫu</t>
  </si>
  <si>
    <t>Placeholder</t>
  </si>
  <si>
    <t>ERPNext/Frappe field gợi ý</t>
  </si>
  <si>
    <t>Ghi chú</t>
  </si>
  <si>
    <t>C12</t>
  </si>
  <si>
    <t>Quotation.name / naming_series</t>
  </si>
  <si>
    <t>Số báo giá</t>
  </si>
  <si>
    <t>C13</t>
  </si>
  <si>
    <t>Quotation.hvac_nhom_dich_vu</t>
  </si>
  <si>
    <t>Loại báo giá</t>
  </si>
  <si>
    <t>C14</t>
  </si>
  <si>
    <t>Quotation.transaction_date</t>
  </si>
  <si>
    <t>Ngày báo giá</t>
  </si>
  <si>
    <t>C15</t>
  </si>
  <si>
    <t>Customer.customer_name</t>
  </si>
  <si>
    <t>Tên khách hàng</t>
  </si>
  <si>
    <t>C16</t>
  </si>
  <si>
    <t>Customer.tax_id / custom field</t>
  </si>
  <si>
    <t>MST khách</t>
  </si>
  <si>
    <t>C17</t>
  </si>
  <si>
    <t>Address.address_line1 + city</t>
  </si>
  <si>
    <t>Địa chỉ</t>
  </si>
  <si>
    <t>C18</t>
  </si>
  <si>
    <t>Project.project_name</t>
  </si>
  <si>
    <t>Công trình</t>
  </si>
  <si>
    <t>A20:I30</t>
  </si>
  <si>
    <t>VAT 10 item rows</t>
  </si>
  <si>
    <t>Quotation Item rows where tax group = VAT 10%</t>
  </si>
  <si>
    <t>Dòng hạng mục chính</t>
  </si>
  <si>
    <t>A33:I43</t>
  </si>
  <si>
    <t>VAT 8 item rows</t>
  </si>
  <si>
    <t>Quotation Item rows where tax group = VAT 8%</t>
  </si>
  <si>
    <t>Dòng vật tư/dịch vụ hưởng VAT 8% nếu áp dụng</t>
  </si>
  <si>
    <t>H54</t>
  </si>
  <si>
    <t>Quotation.grand_total</t>
  </si>
  <si>
    <t>Tổng báo giá</t>
  </si>
  <si>
    <t>A52</t>
  </si>
  <si>
    <t>{{amount_in_words}}</t>
  </si>
  <si>
    <t>amount_to_words(grand_total)</t>
  </si>
  <si>
    <t>Bằng chữ</t>
  </si>
  <si>
    <t>HƯỚNG DẪN SỬ DỤNG TEMPLATE BÁO GIÁ THANH HOÀI</t>
  </si>
  <si>
    <t>Báo giá lắp đặt</t>
  </si>
  <si>
    <t>Báo giá vật tư</t>
  </si>
  <si>
    <t>1</t>
  </si>
  <si>
    <t>Nhập thông tin chung tại C12:C18 hoặc để ERP tự map vào các placeholder.</t>
  </si>
  <si>
    <t>Báo giá bảo trì</t>
  </si>
  <si>
    <t>2</t>
  </si>
  <si>
    <t>Nhập hạng mục theo 2 nhóm VAT 10% và VAT 8%. Nếu không dùng nhóm nào, để trống số lượng/đơn giá.</t>
  </si>
  <si>
    <t>Báo giá sửa chữa</t>
  </si>
  <si>
    <t>3</t>
  </si>
  <si>
    <t>Cột THÀNH TIỀN tự tính theo Số lượng × Đơn giá × (1 - Chiết khấu%).</t>
  </si>
  <si>
    <t>Báo giá phát sinh</t>
  </si>
  <si>
    <t>4</t>
  </si>
  <si>
    <t>Khu vực tổng hợp bên phải tự cộng Subtotal, VAT và Quote Total.</t>
  </si>
  <si>
    <t>5</t>
  </si>
  <si>
    <t>Sheet ERP_FIELD_MAP dùng cho Claude/Codex hoặc developer map thành Print Format trong hvac_service_suite.</t>
  </si>
  <si>
    <t>6</t>
  </si>
  <si>
    <t>Trước khi phát hành cho khách, kiểm tra VAT, điều khoản thanh toán, hiệu lực báo giá và số tiền bằng chữ.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</si>
</sst>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name val="Carlito"/>
    </font>
    <font>
      <sz val="11"/>
      <color rgb="FF111827"/>
      <name val="Times New Roman"/>
    </font>
    <font>
      <b/>
      <sz val="13"/>
      <color rgb="FF1F4E78"/>
      <name val="Times New Roman"/>
    </font>
    <font>
      <b/>
      <sz val="12"/>
      <color rgb="FF1F4E78"/>
      <name val="Times New Roman"/>
    </font>
    <font>
      <sz val="10"/>
      <color rgb="FF111827"/>
      <name val="Times New Roman"/>
    </font>
    <font>
      <b/>
      <sz val="11"/>
      <color rgb="FF111827"/>
      <name val="Times New Roman"/>
    </font>
    <font>
      <b/>
      <sz val="22"/>
      <color rgb="FF1F4E78"/>
      <name val="Times New Roman"/>
    </font>
    <font>
      <i/>
      <sz val="11"/>
      <color rgb="FF111827"/>
      <name val="Times New Roman"/>
    </font>
    <font>
      <b/>
      <sz val="12"/>
      <color rgb="FFFFFFFF"/>
      <name val="Times New Roman"/>
    </font>
    <font>
      <b/>
      <i/>
      <sz val="11"/>
      <color rgb="FF111827"/>
      <name val="Times New Roman"/>
    </font>
    <font>
      <sz val="11"/>
      <color rgb="FF111827"/>
      <name val="Times New Roman"/>
    </font>
    <font>
      <b/>
      <sz val="11"/>
      <color rgb="FF0F172A"/>
      <name val="Times New Roman"/>
    </font>
    <font>
      <i/>
      <sz val="9"/>
      <color rgb="FF6B7280"/>
      <name val="Times New Roman"/>
    </font>
    <font>
      <b/>
      <sz val="11"/>
      <color rgb="FFFFFFFF"/>
      <name val="Carlito"/>
    </font>
    <font>
      <b/>
      <sz val="16"/>
      <color rgb="FF1F4E78"/>
      <name val="Carlito"/>
    </font>
    <font>
      <b/>
      <sz val="11"/>
      <name val="Carlito"/>
    </font>
    <font>
      <sz val="10"/>
      <color rgb="FF111827"/>
      <name val="Times New Roman"/>
    </font>
  </fonts>
  <fills count="10">
    <fill>
      <patternFill patternType="none"/>
    </fill>
    <fill>
      <patternFill patternType="gray125"/>
    </fill>
    <fill>
      <patternFill patternType="solid">
        <fgColor rgb="FFEDF6FC"/>
      </patternFill>
    </fill>
    <fill>
      <patternFill patternType="solid">
        <fgColor rgb="FFE5E7EB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AFAFA"/>
      </patternFill>
    </fill>
    <fill>
      <patternFill patternType="solid">
        <fgColor rgb="FFFFFBEB"/>
      </patternFill>
    </fill>
    <fill>
      <patternFill patternType="solid">
        <fgColor rgb="FFDBEAFE"/>
      </patternFill>
    </fill>
  </fills>
  <borders count="5">
    <border>
      <left/>
      <right/>
      <top/>
      <bottom/>
      <diagonal/>
    </border>
    <border>
      <left/>
      <right/>
      <top/>
      <bottom style="thin">
        <color rgb="FF404040"/>
      </bottom>
      <diagonal/>
    </border>
    <border>
      <left style="thin">
        <color rgb="FF404040"/>
      </left>
      <right/>
      <top/>
      <bottom/>
      <diagonal/>
    </border>
    <border>
      <left/>
      <right style="thin">
        <color rgb="FF404040"/>
      </right>
      <top/>
      <bottom/>
      <diagonal/>
    </border>
    <border>
      <left/>
      <right/>
      <top style="thin">
        <color rgb="FF404040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6" borderId="0" xfId="0" applyFont="1" applyFill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3" fontId="1" fillId="0" borderId="0" xfId="0" applyNumberFormat="1" applyFont="1" applyAlignment="1">
      <alignment vertical="top" wrapText="1"/>
    </xf>
    <xf numFmtId="10" fontId="1" fillId="0" borderId="0" xfId="0" applyNumberFormat="1" applyFont="1" applyAlignment="1">
      <alignment vertical="top" wrapText="1"/>
    </xf>
    <xf numFmtId="0" fontId="1" fillId="7" borderId="0" xfId="0" applyFont="1" applyFill="1" applyAlignment="1">
      <alignment horizontal="center" vertical="top" wrapText="1"/>
    </xf>
    <xf numFmtId="0" fontId="1" fillId="7" borderId="0" xfId="0" applyFont="1" applyFill="1" applyAlignment="1">
      <alignment vertical="top" wrapText="1"/>
    </xf>
    <xf numFmtId="3" fontId="1" fillId="7" borderId="0" xfId="0" applyNumberFormat="1" applyFont="1" applyFill="1" applyAlignment="1">
      <alignment vertical="top" wrapText="1"/>
    </xf>
    <xf numFmtId="10" fontId="1" fillId="7" borderId="0" xfId="0" applyNumberFormat="1" applyFont="1" applyFill="1" applyAlignment="1">
      <alignment vertical="top" wrapText="1"/>
    </xf>
    <xf numFmtId="3" fontId="10" fillId="4" borderId="0" xfId="0" applyNumberFormat="1" applyFont="1" applyFill="1" applyAlignment="1">
      <alignment vertical="center" wrapText="1"/>
    </xf>
    <xf numFmtId="10" fontId="10" fillId="4" borderId="0" xfId="0" applyNumberFormat="1" applyFont="1" applyFill="1" applyAlignment="1">
      <alignment vertical="center" wrapText="1"/>
    </xf>
    <xf numFmtId="3" fontId="11" fillId="9" borderId="0" xfId="0" applyNumberFormat="1" applyFont="1" applyFill="1" applyAlignment="1">
      <alignment vertical="center" wrapText="1"/>
    </xf>
    <xf numFmtId="0" fontId="13" fillId="5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15" fillId="6" borderId="0" xfId="0" applyFont="1" applyFill="1" applyAlignment="1">
      <alignment horizont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right" vertical="center" wrapText="1"/>
    </xf>
    <xf numFmtId="0" fontId="5" fillId="2" borderId="1" xfId="0" applyFont="1" applyFill="1" applyBorder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5" fillId="3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8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left" vertical="center" wrapText="1"/>
    </xf>
    <xf numFmtId="0" fontId="9" fillId="8" borderId="0" xfId="0" applyFont="1" applyFill="1" applyAlignment="1">
      <alignment vertical="center" wrapText="1"/>
    </xf>
    <xf numFmtId="0" fontId="11" fillId="9" borderId="0" xfId="0" applyFont="1" applyFill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wrapText="1"/>
    </xf>
    <xf numFmtId="0" fontId="12" fillId="0" borderId="0" xfId="0" applyFont="1" applyAlignment="1">
      <alignment horizontal="center" vertical="center" wrapText="1"/>
    </xf>
    <xf numFmtId="0" fontId="16" fillId="0" borderId="2" xfId="0" applyFont="1" applyBorder="1" applyAlignment="1">
      <alignment vertical="center" wrapText="1"/>
    </xf>
    <xf numFmtId="0" fontId="16" fillId="0" borderId="0" xfId="0" applyFont="1" applyAlignment="1">
      <alignment vertical="center" wrapText="1"/>
    </xf>
    <xf numFmtId="0" fontId="16" fillId="0" borderId="3" xfId="0" applyFont="1" applyBorder="1" applyAlignment="1">
      <alignment vertical="center" wrapText="1"/>
    </xf>
    <xf numFmtId="0" fontId="14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72"/>
  <sheetViews>
    <sheetView tabSelected="1" view="pageBreakPreview" topLeftCell="A35" zoomScaleNormal="100" zoomScaleSheetLayoutView="100" workbookViewId="0">
      <selection activeCell="O42" sqref="O42"/>
    </sheetView>
  </sheetViews>
  <sheetFormatPr defaultRowHeight="14.25"/>
  <cols>
    <col min="1" max="1" width="6" customWidth="1"/>
    <col min="2" max="2" width="13" customWidth="1"/>
    <col min="3" max="3" width="39" customWidth="1"/>
    <col min="4" max="4" width="8" customWidth="1"/>
    <col min="5" max="5" width="11" customWidth="1"/>
    <col min="6" max="6" width="15" customWidth="1"/>
    <col min="7" max="7" width="11" hidden="1" customWidth="1"/>
    <col min="8" max="8" width="16" customWidth="1"/>
    <col min="9" max="9" width="28" customWidth="1"/>
  </cols>
  <sheetData>
    <row r="1" spans="1:9" ht="21.95" customHeight="1">
      <c r="A1" s="18" t="s">
        <v>0</v>
      </c>
      <c r="B1" s="18"/>
      <c r="C1" s="18"/>
      <c r="D1" s="18"/>
      <c r="E1" s="18"/>
      <c r="F1" s="20" t="s">
        <v>1</v>
      </c>
      <c r="G1" s="20"/>
      <c r="H1" s="20"/>
      <c r="I1" s="20"/>
    </row>
    <row r="2" spans="1:9" ht="21.95" customHeight="1">
      <c r="A2" s="19" t="s">
        <v>2</v>
      </c>
      <c r="B2" s="19"/>
      <c r="C2" s="19"/>
      <c r="D2" s="19"/>
      <c r="E2" s="19"/>
      <c r="F2" s="19" t="s">
        <v>3</v>
      </c>
      <c r="G2" s="19"/>
      <c r="H2" s="19"/>
      <c r="I2" s="19"/>
    </row>
    <row r="3" spans="1:9" ht="21.95" customHeight="1">
      <c r="A3" s="19" t="s">
        <v>4</v>
      </c>
      <c r="B3" s="19"/>
      <c r="C3" s="19"/>
      <c r="D3" s="19"/>
      <c r="E3" s="19"/>
      <c r="F3" s="19" t="s">
        <v>5</v>
      </c>
      <c r="G3" s="19"/>
      <c r="H3" s="19"/>
      <c r="I3" s="19"/>
    </row>
    <row r="4" spans="1:9" ht="21.95" customHeight="1">
      <c r="A4" s="19" t="s">
        <v>6</v>
      </c>
      <c r="B4" s="19"/>
      <c r="C4" s="19"/>
      <c r="D4" s="19"/>
      <c r="E4" s="19"/>
      <c r="F4" s="19" t="s">
        <v>7</v>
      </c>
      <c r="G4" s="19"/>
      <c r="H4" s="19"/>
      <c r="I4" s="19"/>
    </row>
    <row r="5" spans="1:9" ht="21.95" customHeight="1">
      <c r="A5" s="1"/>
      <c r="B5" s="1"/>
      <c r="C5" s="1"/>
      <c r="D5" s="1"/>
      <c r="E5" s="1"/>
      <c r="F5" s="1"/>
      <c r="G5" s="1"/>
      <c r="H5" s="1"/>
      <c r="I5" s="1"/>
    </row>
    <row r="6" spans="1:9" ht="21.95" customHeight="1">
      <c r="A6" s="21" t="s">
        <v>8</v>
      </c>
      <c r="B6" s="21"/>
      <c r="C6" s="21" t="s">
        <v>9</v>
      </c>
      <c r="D6" s="21"/>
      <c r="E6" s="2"/>
      <c r="F6" s="21" t="s">
        <v>10</v>
      </c>
      <c r="G6" s="21"/>
      <c r="H6" s="21" t="s">
        <v>11</v>
      </c>
      <c r="I6" s="21"/>
    </row>
    <row r="7" spans="1:9" ht="21.95" customHeight="1">
      <c r="A7" s="1"/>
      <c r="B7" s="1"/>
      <c r="C7" s="1"/>
      <c r="D7" s="1"/>
      <c r="E7" s="1"/>
      <c r="F7" s="1"/>
      <c r="G7" s="1"/>
      <c r="H7" s="1"/>
      <c r="I7" s="1"/>
    </row>
    <row r="8" spans="1:9" ht="36" customHeight="1">
      <c r="A8" s="22" t="s">
        <v>12</v>
      </c>
      <c r="B8" s="23"/>
      <c r="C8" s="23"/>
      <c r="D8" s="23"/>
      <c r="E8" s="23"/>
      <c r="F8" s="23"/>
      <c r="G8" s="23"/>
      <c r="H8" s="23"/>
      <c r="I8" s="23"/>
    </row>
    <row r="9" spans="1:9" ht="21.95" customHeight="1">
      <c r="A9" s="1"/>
      <c r="B9" s="1"/>
      <c r="C9" s="1"/>
      <c r="D9" s="1"/>
      <c r="E9" s="1"/>
      <c r="F9" s="1"/>
      <c r="G9" s="1"/>
      <c r="H9" s="1"/>
      <c r="I9" s="1"/>
    </row>
    <row r="10" spans="1:9" ht="21.95" customHeight="1">
      <c r="A10" s="24" t="s">
        <v>13</v>
      </c>
      <c r="B10" s="23"/>
      <c r="C10" s="23"/>
      <c r="D10" s="23"/>
      <c r="E10" s="23"/>
      <c r="F10" s="23"/>
      <c r="G10" s="23"/>
      <c r="H10" s="23"/>
      <c r="I10" s="23"/>
    </row>
    <row r="11" spans="1:9" ht="21.95" customHeight="1">
      <c r="A11" s="1"/>
      <c r="B11" s="1"/>
      <c r="C11" s="1"/>
      <c r="D11" s="1"/>
      <c r="E11" s="1"/>
      <c r="F11" s="1"/>
      <c r="G11" s="1"/>
      <c r="H11" s="1"/>
      <c r="I11" s="1"/>
    </row>
    <row r="12" spans="1:9" ht="21.95" customHeight="1">
      <c r="A12" s="25" t="s">
        <v>14</v>
      </c>
      <c r="B12" s="25"/>
      <c r="C12" s="26" t="s">
        <v>9</v>
      </c>
      <c r="D12" s="26"/>
      <c r="E12" s="26"/>
      <c r="F12" s="26"/>
      <c r="G12" s="26"/>
      <c r="H12" s="26"/>
      <c r="I12" s="26"/>
    </row>
    <row r="13" spans="1:9" ht="21.95" customHeight="1">
      <c r="A13" s="25" t="s">
        <v>15</v>
      </c>
      <c r="B13" s="25"/>
      <c r="C13" s="26" t="s">
        <v>16</v>
      </c>
      <c r="D13" s="26"/>
      <c r="E13" s="26"/>
      <c r="F13" s="26"/>
      <c r="G13" s="26"/>
      <c r="H13" s="26"/>
      <c r="I13" s="26"/>
    </row>
    <row r="14" spans="1:9" ht="21.95" customHeight="1">
      <c r="A14" s="25" t="s">
        <v>17</v>
      </c>
      <c r="B14" s="25"/>
      <c r="C14" s="26" t="s">
        <v>18</v>
      </c>
      <c r="D14" s="26"/>
      <c r="E14" s="26"/>
      <c r="F14" s="26"/>
      <c r="G14" s="26"/>
      <c r="H14" s="26"/>
      <c r="I14" s="26"/>
    </row>
    <row r="15" spans="1:9" ht="21.95" customHeight="1">
      <c r="A15" s="25" t="s">
        <v>19</v>
      </c>
      <c r="B15" s="25"/>
      <c r="C15" s="26" t="s">
        <v>20</v>
      </c>
      <c r="D15" s="26"/>
      <c r="E15" s="26"/>
      <c r="F15" s="26"/>
      <c r="G15" s="26"/>
      <c r="H15" s="26"/>
      <c r="I15" s="26"/>
    </row>
    <row r="16" spans="1:9" ht="21.95" customHeight="1">
      <c r="A16" s="25" t="s">
        <v>21</v>
      </c>
      <c r="B16" s="25"/>
      <c r="C16" s="26" t="s">
        <v>22</v>
      </c>
      <c r="D16" s="26"/>
      <c r="E16" s="26"/>
      <c r="F16" s="26"/>
      <c r="G16" s="26"/>
      <c r="H16" s="26"/>
      <c r="I16" s="26"/>
    </row>
    <row r="17" spans="1:9" ht="21.95" customHeight="1">
      <c r="A17" s="25" t="s">
        <v>23</v>
      </c>
      <c r="B17" s="25"/>
      <c r="C17" s="26" t="s">
        <v>24</v>
      </c>
      <c r="D17" s="26"/>
      <c r="E17" s="26"/>
      <c r="F17" s="26"/>
      <c r="G17" s="26"/>
      <c r="H17" s="26"/>
      <c r="I17" s="26"/>
    </row>
    <row r="18" spans="1:9" ht="21.95" customHeight="1">
      <c r="A18" s="25" t="s">
        <v>25</v>
      </c>
      <c r="B18" s="25"/>
      <c r="C18" s="26" t="s">
        <v>26</v>
      </c>
      <c r="D18" s="26"/>
      <c r="E18" s="26"/>
      <c r="F18" s="26"/>
      <c r="G18" s="26"/>
      <c r="H18" s="26"/>
      <c r="I18" s="26"/>
    </row>
    <row r="19" spans="1:9" ht="21.95" customHeight="1">
      <c r="A19" s="1"/>
      <c r="B19" s="1"/>
      <c r="C19" s="1"/>
      <c r="D19" s="1"/>
      <c r="E19" s="1"/>
      <c r="F19" s="1"/>
      <c r="G19" s="1"/>
      <c r="H19" s="1"/>
      <c r="I19" s="1"/>
    </row>
    <row r="20" spans="1:9" ht="24" customHeight="1">
      <c r="A20" s="27" t="s">
        <v>27</v>
      </c>
      <c r="B20" s="27"/>
      <c r="C20" s="27"/>
      <c r="D20" s="27"/>
      <c r="E20" s="27"/>
      <c r="F20" s="27"/>
      <c r="G20" s="27"/>
      <c r="H20" s="27"/>
      <c r="I20" s="27"/>
    </row>
    <row r="21" spans="1:9" ht="30" customHeight="1">
      <c r="A21" s="3" t="s">
        <v>28</v>
      </c>
      <c r="B21" s="3" t="s">
        <v>29</v>
      </c>
      <c r="C21" s="3" t="s">
        <v>30</v>
      </c>
      <c r="D21" s="3" t="s">
        <v>31</v>
      </c>
      <c r="E21" s="3" t="s">
        <v>32</v>
      </c>
      <c r="F21" s="3" t="s">
        <v>33</v>
      </c>
      <c r="G21" s="3" t="s">
        <v>34</v>
      </c>
      <c r="H21" s="3" t="s">
        <v>35</v>
      </c>
      <c r="I21" s="3" t="s">
        <v>36</v>
      </c>
    </row>
    <row r="22" spans="1:9" ht="30" customHeight="1">
      <c r="A22" s="5">
        <v>1</v>
      </c>
      <c r="B22" s="4"/>
      <c r="C22" s="4"/>
      <c r="D22" s="5"/>
      <c r="E22" s="5"/>
      <c r="F22" s="6"/>
      <c r="G22" s="7"/>
      <c r="H22" s="6">
        <f t="shared" ref="H22:H31" si="0">IFERROR(E22*F22*(1-IF(G22="",0,G22)),0)</f>
        <v>0</v>
      </c>
      <c r="I22" s="4"/>
    </row>
    <row r="23" spans="1:9" ht="30" customHeight="1">
      <c r="A23" s="8">
        <v>2</v>
      </c>
      <c r="B23" s="9"/>
      <c r="C23" s="9"/>
      <c r="D23" s="8"/>
      <c r="E23" s="8"/>
      <c r="F23" s="10"/>
      <c r="G23" s="11"/>
      <c r="H23" s="10">
        <f t="shared" si="0"/>
        <v>0</v>
      </c>
      <c r="I23" s="9"/>
    </row>
    <row r="24" spans="1:9" ht="30" customHeight="1">
      <c r="A24" s="5">
        <v>3</v>
      </c>
      <c r="B24" s="4"/>
      <c r="C24" s="4"/>
      <c r="D24" s="5"/>
      <c r="E24" s="5"/>
      <c r="F24" s="6"/>
      <c r="G24" s="7"/>
      <c r="H24" s="6">
        <f t="shared" si="0"/>
        <v>0</v>
      </c>
      <c r="I24" s="4"/>
    </row>
    <row r="25" spans="1:9" ht="30" customHeight="1">
      <c r="A25" s="8">
        <v>4</v>
      </c>
      <c r="B25" s="9"/>
      <c r="C25" s="9"/>
      <c r="D25" s="8"/>
      <c r="E25" s="8"/>
      <c r="F25" s="10"/>
      <c r="G25" s="11"/>
      <c r="H25" s="10">
        <f t="shared" si="0"/>
        <v>0</v>
      </c>
      <c r="I25" s="9"/>
    </row>
    <row r="26" spans="1:9" ht="30" customHeight="1">
      <c r="A26" s="5">
        <v>5</v>
      </c>
      <c r="B26" s="4"/>
      <c r="C26" s="4"/>
      <c r="D26" s="5"/>
      <c r="E26" s="5"/>
      <c r="F26" s="6"/>
      <c r="G26" s="7"/>
      <c r="H26" s="6">
        <f t="shared" si="0"/>
        <v>0</v>
      </c>
      <c r="I26" s="4"/>
    </row>
    <row r="27" spans="1:9" ht="30" customHeight="1">
      <c r="A27" s="8">
        <v>6</v>
      </c>
      <c r="B27" s="9"/>
      <c r="C27" s="9"/>
      <c r="D27" s="8"/>
      <c r="E27" s="8"/>
      <c r="F27" s="10"/>
      <c r="G27" s="11"/>
      <c r="H27" s="10">
        <f t="shared" si="0"/>
        <v>0</v>
      </c>
      <c r="I27" s="9"/>
    </row>
    <row r="28" spans="1:9" ht="30" customHeight="1">
      <c r="A28" s="5">
        <v>7</v>
      </c>
      <c r="B28" s="4"/>
      <c r="C28" s="4"/>
      <c r="D28" s="5"/>
      <c r="E28" s="5"/>
      <c r="F28" s="6"/>
      <c r="G28" s="7"/>
      <c r="H28" s="6">
        <f t="shared" si="0"/>
        <v>0</v>
      </c>
      <c r="I28" s="4"/>
    </row>
    <row r="29" spans="1:9" ht="30" customHeight="1">
      <c r="A29" s="8">
        <v>8</v>
      </c>
      <c r="B29" s="9"/>
      <c r="C29" s="9"/>
      <c r="D29" s="8"/>
      <c r="E29" s="8"/>
      <c r="F29" s="10"/>
      <c r="G29" s="11"/>
      <c r="H29" s="10">
        <f t="shared" si="0"/>
        <v>0</v>
      </c>
      <c r="I29" s="9"/>
    </row>
    <row r="30" spans="1:9" ht="30" customHeight="1">
      <c r="A30" s="5">
        <v>9</v>
      </c>
      <c r="B30" s="4"/>
      <c r="C30" s="4"/>
      <c r="D30" s="5"/>
      <c r="E30" s="5"/>
      <c r="F30" s="6"/>
      <c r="G30" s="7"/>
      <c r="H30" s="6">
        <f t="shared" si="0"/>
        <v>0</v>
      </c>
      <c r="I30" s="4"/>
    </row>
    <row r="31" spans="1:9" ht="30" customHeight="1">
      <c r="A31" s="8">
        <v>10</v>
      </c>
      <c r="B31" s="9"/>
      <c r="C31" s="9"/>
      <c r="D31" s="8"/>
      <c r="E31" s="8"/>
      <c r="F31" s="10"/>
      <c r="G31" s="11"/>
      <c r="H31" s="10">
        <f t="shared" si="0"/>
        <v>0</v>
      </c>
      <c r="I31" s="9"/>
    </row>
    <row r="32" spans="1:9" ht="30" customHeight="1">
      <c r="A32" s="1"/>
      <c r="B32" s="1"/>
      <c r="C32" s="1"/>
      <c r="D32" s="1"/>
      <c r="E32" s="1"/>
      <c r="F32" s="1"/>
      <c r="G32" s="1"/>
      <c r="H32" s="1"/>
      <c r="I32" s="1"/>
    </row>
    <row r="33" spans="1:9" ht="30" customHeight="1">
      <c r="A33" s="27" t="s">
        <v>37</v>
      </c>
      <c r="B33" s="27"/>
      <c r="C33" s="27"/>
      <c r="D33" s="27"/>
      <c r="E33" s="27"/>
      <c r="F33" s="27"/>
      <c r="G33" s="27"/>
      <c r="H33" s="27"/>
      <c r="I33" s="27"/>
    </row>
    <row r="34" spans="1:9" ht="30" customHeight="1">
      <c r="A34" s="3" t="s">
        <v>28</v>
      </c>
      <c r="B34" s="3" t="s">
        <v>29</v>
      </c>
      <c r="C34" s="3" t="s">
        <v>30</v>
      </c>
      <c r="D34" s="3" t="s">
        <v>31</v>
      </c>
      <c r="E34" s="3" t="s">
        <v>32</v>
      </c>
      <c r="F34" s="3" t="s">
        <v>33</v>
      </c>
      <c r="G34" s="3" t="s">
        <v>34</v>
      </c>
      <c r="H34" s="3" t="s">
        <v>35</v>
      </c>
      <c r="I34" s="3" t="s">
        <v>36</v>
      </c>
    </row>
    <row r="35" spans="1:9" ht="30" customHeight="1">
      <c r="A35" s="5">
        <v>1</v>
      </c>
      <c r="B35" s="4"/>
      <c r="C35" s="4"/>
      <c r="D35" s="5"/>
      <c r="E35" s="5"/>
      <c r="F35" s="6"/>
      <c r="G35" s="7"/>
      <c r="H35" s="6">
        <f t="shared" ref="H35:H44" si="1">IFERROR(E35*F35*(1-IF(G35="",0,G35)),0)</f>
        <v>0</v>
      </c>
      <c r="I35" s="4"/>
    </row>
    <row r="36" spans="1:9" ht="30" customHeight="1">
      <c r="A36" s="8">
        <v>2</v>
      </c>
      <c r="B36" s="9"/>
      <c r="C36" s="9"/>
      <c r="D36" s="8"/>
      <c r="E36" s="8"/>
      <c r="F36" s="10"/>
      <c r="G36" s="11"/>
      <c r="H36" s="10">
        <f t="shared" si="1"/>
        <v>0</v>
      </c>
      <c r="I36" s="9"/>
    </row>
    <row r="37" spans="1:9" ht="30" customHeight="1">
      <c r="A37" s="5">
        <v>3</v>
      </c>
      <c r="B37" s="4"/>
      <c r="C37" s="4"/>
      <c r="D37" s="5"/>
      <c r="E37" s="5"/>
      <c r="F37" s="6"/>
      <c r="G37" s="7"/>
      <c r="H37" s="6">
        <f t="shared" si="1"/>
        <v>0</v>
      </c>
      <c r="I37" s="4"/>
    </row>
    <row r="38" spans="1:9" ht="30" customHeight="1">
      <c r="A38" s="8">
        <v>4</v>
      </c>
      <c r="B38" s="9"/>
      <c r="C38" s="9"/>
      <c r="D38" s="8"/>
      <c r="E38" s="8"/>
      <c r="F38" s="10"/>
      <c r="G38" s="11"/>
      <c r="H38" s="10">
        <f t="shared" si="1"/>
        <v>0</v>
      </c>
      <c r="I38" s="9"/>
    </row>
    <row r="39" spans="1:9" ht="30" customHeight="1">
      <c r="A39" s="5">
        <v>5</v>
      </c>
      <c r="B39" s="4"/>
      <c r="C39" s="4"/>
      <c r="D39" s="5"/>
      <c r="E39" s="5"/>
      <c r="F39" s="6"/>
      <c r="G39" s="7"/>
      <c r="H39" s="6">
        <f t="shared" si="1"/>
        <v>0</v>
      </c>
      <c r="I39" s="4"/>
    </row>
    <row r="40" spans="1:9" ht="30" customHeight="1">
      <c r="A40" s="8">
        <v>6</v>
      </c>
      <c r="B40" s="9"/>
      <c r="C40" s="9"/>
      <c r="D40" s="8"/>
      <c r="E40" s="8"/>
      <c r="F40" s="10"/>
      <c r="G40" s="11"/>
      <c r="H40" s="10">
        <f t="shared" si="1"/>
        <v>0</v>
      </c>
      <c r="I40" s="9"/>
    </row>
    <row r="41" spans="1:9" ht="30" customHeight="1">
      <c r="A41" s="5">
        <v>7</v>
      </c>
      <c r="B41" s="4"/>
      <c r="C41" s="4"/>
      <c r="D41" s="5"/>
      <c r="E41" s="5"/>
      <c r="F41" s="6"/>
      <c r="G41" s="7"/>
      <c r="H41" s="6">
        <f t="shared" si="1"/>
        <v>0</v>
      </c>
      <c r="I41" s="4"/>
    </row>
    <row r="42" spans="1:9" ht="30" customHeight="1">
      <c r="A42" s="8">
        <v>8</v>
      </c>
      <c r="B42" s="9"/>
      <c r="C42" s="9"/>
      <c r="D42" s="8"/>
      <c r="E42" s="8"/>
      <c r="F42" s="10"/>
      <c r="G42" s="11"/>
      <c r="H42" s="10">
        <f t="shared" si="1"/>
        <v>0</v>
      </c>
      <c r="I42" s="9"/>
    </row>
    <row r="43" spans="1:9" ht="30" customHeight="1">
      <c r="A43" s="5">
        <v>9</v>
      </c>
      <c r="B43" s="4"/>
      <c r="C43" s="4"/>
      <c r="D43" s="5"/>
      <c r="E43" s="5"/>
      <c r="F43" s="6"/>
      <c r="G43" s="7"/>
      <c r="H43" s="6">
        <f t="shared" si="1"/>
        <v>0</v>
      </c>
      <c r="I43" s="4"/>
    </row>
    <row r="44" spans="1:9" ht="21.95" customHeight="1">
      <c r="A44" s="8">
        <v>10</v>
      </c>
      <c r="B44" s="9"/>
      <c r="C44" s="9"/>
      <c r="D44" s="8"/>
      <c r="E44" s="8"/>
      <c r="F44" s="10"/>
      <c r="G44" s="11"/>
      <c r="H44" s="10">
        <f t="shared" si="1"/>
        <v>0</v>
      </c>
      <c r="I44" s="9"/>
    </row>
    <row r="45" spans="1:9" ht="21.95" customHeight="1">
      <c r="A45" s="1"/>
      <c r="B45" s="1"/>
      <c r="C45" s="1"/>
      <c r="D45" s="1"/>
      <c r="E45" s="1"/>
      <c r="F45" s="1"/>
      <c r="G45" s="1"/>
      <c r="H45" s="1"/>
      <c r="I45" s="1"/>
    </row>
    <row r="46" spans="1:9" ht="21.95" customHeight="1">
      <c r="A46" s="28" t="s">
        <v>38</v>
      </c>
      <c r="B46" s="28"/>
      <c r="C46" s="28"/>
      <c r="D46" s="28"/>
      <c r="E46" s="1"/>
      <c r="F46" s="25" t="s">
        <v>39</v>
      </c>
      <c r="G46" s="25"/>
      <c r="H46" s="12">
        <f>SUM(H22:H31)</f>
        <v>0</v>
      </c>
      <c r="I46" s="1"/>
    </row>
    <row r="47" spans="1:9" ht="21.95" customHeight="1">
      <c r="A47" s="35" t="s">
        <v>40</v>
      </c>
      <c r="B47" s="36"/>
      <c r="C47" s="36"/>
      <c r="D47" s="37"/>
      <c r="E47" s="1"/>
      <c r="F47" s="25" t="s">
        <v>41</v>
      </c>
      <c r="G47" s="25"/>
      <c r="H47" s="13">
        <v>0.1</v>
      </c>
      <c r="I47" s="1"/>
    </row>
    <row r="48" spans="1:9" ht="21.95" customHeight="1">
      <c r="A48" s="35" t="s">
        <v>42</v>
      </c>
      <c r="B48" s="36"/>
      <c r="C48" s="36"/>
      <c r="D48" s="37"/>
      <c r="E48" s="1"/>
      <c r="F48" s="25" t="s">
        <v>43</v>
      </c>
      <c r="G48" s="25"/>
      <c r="H48" s="12">
        <f>H46*H47</f>
        <v>0</v>
      </c>
      <c r="I48" s="1"/>
    </row>
    <row r="49" spans="1:9" ht="21.95" customHeight="1">
      <c r="A49" s="35" t="s">
        <v>44</v>
      </c>
      <c r="B49" s="36"/>
      <c r="C49" s="36"/>
      <c r="D49" s="37"/>
      <c r="E49" s="1"/>
      <c r="F49" s="25" t="s">
        <v>45</v>
      </c>
      <c r="G49" s="25"/>
      <c r="H49" s="12">
        <f>H46+H48</f>
        <v>0</v>
      </c>
      <c r="I49" s="1"/>
    </row>
    <row r="50" spans="1:9" ht="21.95" customHeight="1">
      <c r="A50" s="35" t="s">
        <v>46</v>
      </c>
      <c r="B50" s="36"/>
      <c r="C50" s="36"/>
      <c r="D50" s="37"/>
      <c r="E50" s="1"/>
      <c r="F50" s="25" t="s">
        <v>47</v>
      </c>
      <c r="G50" s="25"/>
      <c r="H50" s="12">
        <f>SUM(H35:H44)</f>
        <v>0</v>
      </c>
      <c r="I50" s="1"/>
    </row>
    <row r="51" spans="1:9" ht="21.95" customHeight="1">
      <c r="A51" s="35" t="s">
        <v>48</v>
      </c>
      <c r="B51" s="36"/>
      <c r="C51" s="36"/>
      <c r="D51" s="37"/>
      <c r="E51" s="1"/>
      <c r="F51" s="25" t="s">
        <v>41</v>
      </c>
      <c r="G51" s="25"/>
      <c r="H51" s="13">
        <v>0.08</v>
      </c>
      <c r="I51" s="1"/>
    </row>
    <row r="52" spans="1:9" ht="24" customHeight="1">
      <c r="A52" s="29" t="s">
        <v>49</v>
      </c>
      <c r="B52" s="29"/>
      <c r="C52" s="29"/>
      <c r="D52" s="29"/>
      <c r="E52" s="1"/>
      <c r="F52" s="25" t="s">
        <v>43</v>
      </c>
      <c r="G52" s="25"/>
      <c r="H52" s="12">
        <f>H50*H51</f>
        <v>0</v>
      </c>
      <c r="I52" s="1"/>
    </row>
    <row r="53" spans="1:9" ht="21.95" customHeight="1">
      <c r="A53" s="1"/>
      <c r="B53" s="1"/>
      <c r="C53" s="1"/>
      <c r="D53" s="1"/>
      <c r="E53" s="1"/>
      <c r="F53" s="25" t="s">
        <v>50</v>
      </c>
      <c r="G53" s="25"/>
      <c r="H53" s="12">
        <f>H50+H52</f>
        <v>0</v>
      </c>
      <c r="I53" s="1"/>
    </row>
    <row r="54" spans="1:9" ht="21.95" customHeight="1">
      <c r="A54" s="1"/>
      <c r="B54" s="1"/>
      <c r="C54" s="1"/>
      <c r="D54" s="1"/>
      <c r="E54" s="1"/>
      <c r="F54" s="30" t="s">
        <v>51</v>
      </c>
      <c r="G54" s="30"/>
      <c r="H54" s="14">
        <f>H49+H53</f>
        <v>0</v>
      </c>
      <c r="I54" s="1"/>
    </row>
    <row r="55" spans="1:9" ht="21.95" customHeight="1">
      <c r="A55" s="1"/>
      <c r="B55" s="1"/>
      <c r="C55" s="1"/>
      <c r="D55" s="1"/>
      <c r="E55" s="1"/>
      <c r="F55" s="1"/>
      <c r="G55" s="1"/>
      <c r="H55" s="1"/>
      <c r="I55" s="1"/>
    </row>
    <row r="56" spans="1:9" ht="21.95" customHeight="1">
      <c r="A56" s="1"/>
      <c r="B56" s="1"/>
      <c r="C56" s="1"/>
      <c r="D56" s="1"/>
      <c r="E56" s="1"/>
      <c r="F56" s="1"/>
      <c r="G56" s="1"/>
      <c r="H56" s="1"/>
      <c r="I56" s="1"/>
    </row>
    <row r="57" spans="1:9" ht="21.95" customHeight="1">
      <c r="A57" s="1"/>
      <c r="B57" s="1"/>
      <c r="C57" s="1"/>
      <c r="D57" s="1"/>
      <c r="E57" s="1"/>
      <c r="F57" s="1"/>
      <c r="G57" s="1"/>
      <c r="H57" s="1"/>
      <c r="I57" s="1"/>
    </row>
    <row r="58" spans="1:9" ht="21.95" customHeight="1">
      <c r="A58" s="31" t="s">
        <v>52</v>
      </c>
      <c r="B58" s="31"/>
      <c r="C58" s="31"/>
      <c r="D58" s="31"/>
      <c r="E58" s="1"/>
      <c r="F58" s="31" t="s">
        <v>53</v>
      </c>
      <c r="G58" s="31"/>
      <c r="H58" s="31"/>
      <c r="I58" s="31"/>
    </row>
    <row r="59" spans="1:9" ht="21.95" customHeight="1">
      <c r="A59" s="32" t="s">
        <v>54</v>
      </c>
      <c r="B59" s="32"/>
      <c r="C59" s="32"/>
      <c r="D59" s="32"/>
      <c r="E59" s="1"/>
      <c r="F59" s="33" t="s">
        <v>55</v>
      </c>
      <c r="G59" s="33"/>
      <c r="H59" s="33"/>
      <c r="I59" s="33"/>
    </row>
    <row r="60" spans="1:9" ht="21.95" customHeight="1">
      <c r="A60" s="32"/>
      <c r="B60" s="32"/>
      <c r="C60" s="32"/>
      <c r="D60" s="32"/>
      <c r="E60" s="1"/>
      <c r="F60" s="33"/>
      <c r="G60" s="33"/>
      <c r="H60" s="33"/>
      <c r="I60" s="33"/>
    </row>
    <row r="61" spans="1:9" ht="21.95" customHeight="1">
      <c r="A61" s="32"/>
      <c r="B61" s="32"/>
      <c r="C61" s="32"/>
      <c r="D61" s="32"/>
      <c r="E61" s="1"/>
      <c r="F61" s="33"/>
      <c r="G61" s="33"/>
      <c r="H61" s="33"/>
      <c r="I61" s="33"/>
    </row>
    <row r="62" spans="1:9" ht="21.95" customHeight="1">
      <c r="A62" s="32"/>
      <c r="B62" s="32"/>
      <c r="C62" s="32"/>
      <c r="D62" s="32"/>
      <c r="E62" s="1"/>
      <c r="F62" s="33"/>
      <c r="G62" s="33"/>
      <c r="H62" s="33"/>
      <c r="I62" s="33"/>
    </row>
    <row r="63" spans="1:9" ht="21.95" customHeight="1">
      <c r="A63" s="32"/>
      <c r="B63" s="32"/>
      <c r="C63" s="32"/>
      <c r="D63" s="32"/>
      <c r="E63" s="1"/>
      <c r="F63" s="33"/>
      <c r="G63" s="33"/>
      <c r="H63" s="33"/>
      <c r="I63" s="33"/>
    </row>
    <row r="64" spans="1:9" ht="21.95" customHeight="1">
      <c r="A64" s="32"/>
      <c r="B64" s="32"/>
      <c r="C64" s="32"/>
      <c r="D64" s="32"/>
      <c r="E64" s="1"/>
      <c r="F64" s="33"/>
      <c r="G64" s="33"/>
      <c r="H64" s="33"/>
      <c r="I64" s="33"/>
    </row>
    <row r="65" spans="1:9" ht="21.95" customHeight="1">
      <c r="A65" s="32"/>
      <c r="B65" s="32"/>
      <c r="C65" s="32"/>
      <c r="D65" s="32"/>
      <c r="E65" s="1"/>
      <c r="F65" s="33"/>
      <c r="G65" s="33"/>
      <c r="H65" s="33"/>
      <c r="I65" s="33"/>
    </row>
    <row r="66" spans="1:9" ht="21.95" customHeight="1">
      <c r="A66" s="32"/>
      <c r="B66" s="32"/>
      <c r="C66" s="32"/>
      <c r="D66" s="32"/>
      <c r="E66" s="1"/>
      <c r="F66" s="33"/>
      <c r="G66" s="33"/>
      <c r="H66" s="33"/>
      <c r="I66" s="33"/>
    </row>
    <row r="67" spans="1:9" ht="21.95" customHeight="1">
      <c r="A67" s="1"/>
      <c r="B67" s="1"/>
      <c r="C67" s="1"/>
      <c r="D67" s="1"/>
      <c r="E67" s="1"/>
      <c r="F67" s="1"/>
      <c r="G67" s="1"/>
      <c r="H67" s="1"/>
      <c r="I67" s="1"/>
    </row>
    <row r="68" spans="1:9" ht="21.95" customHeight="1">
      <c r="A68" s="34" t="s">
        <v>56</v>
      </c>
      <c r="B68" s="23"/>
      <c r="C68" s="23"/>
      <c r="D68" s="23"/>
      <c r="E68" s="23"/>
      <c r="F68" s="23"/>
      <c r="G68" s="23"/>
      <c r="H68" s="23"/>
      <c r="I68" s="23"/>
    </row>
    <row r="69" spans="1:9" ht="21.95" customHeight="1">
      <c r="A69" s="1"/>
      <c r="B69" s="1"/>
      <c r="C69" s="1"/>
      <c r="D69" s="1"/>
      <c r="E69" s="1"/>
      <c r="F69" s="1"/>
      <c r="G69" s="1"/>
      <c r="H69" s="1"/>
      <c r="I69" s="1"/>
    </row>
    <row r="70" spans="1:9" ht="21.95" customHeight="1">
      <c r="A70" s="1"/>
      <c r="B70" s="1"/>
      <c r="C70" s="1"/>
      <c r="D70" s="1"/>
      <c r="E70" s="1"/>
      <c r="F70" s="1"/>
      <c r="G70" s="1"/>
      <c r="H70" s="1"/>
      <c r="I70" s="1"/>
    </row>
    <row r="71" spans="1:9" ht="21.95" customHeight="1">
      <c r="A71" s="1"/>
      <c r="B71" s="1"/>
      <c r="C71" s="1"/>
      <c r="D71" s="1"/>
      <c r="E71" s="1"/>
      <c r="F71" s="1"/>
      <c r="G71" s="1"/>
      <c r="H71" s="1"/>
      <c r="I71" s="1"/>
    </row>
    <row r="72" spans="1:9" ht="21.95" customHeight="1">
      <c r="A72" s="1"/>
      <c r="B72" s="1"/>
      <c r="C72" s="1"/>
      <c r="D72" s="1"/>
      <c r="E72" s="1"/>
      <c r="F72" s="1"/>
      <c r="G72" s="1"/>
      <c r="H72" s="1"/>
      <c r="I72" s="1"/>
    </row>
  </sheetData>
  <mergeCells count="51">
    <mergeCell ref="A68:I68"/>
    <mergeCell ref="A47:D47"/>
    <mergeCell ref="A48:D48"/>
    <mergeCell ref="A49:D49"/>
    <mergeCell ref="A50:D50"/>
    <mergeCell ref="A51:D51"/>
    <mergeCell ref="F53:G53"/>
    <mergeCell ref="F54:G54"/>
    <mergeCell ref="A58:D58"/>
    <mergeCell ref="F58:I58"/>
    <mergeCell ref="A59:D66"/>
    <mergeCell ref="F59:I66"/>
    <mergeCell ref="A33:I33"/>
    <mergeCell ref="A46:D46"/>
    <mergeCell ref="A52:D52"/>
    <mergeCell ref="F46:G46"/>
    <mergeCell ref="F47:G47"/>
    <mergeCell ref="F48:G48"/>
    <mergeCell ref="F49:G49"/>
    <mergeCell ref="F50:G50"/>
    <mergeCell ref="F51:G51"/>
    <mergeCell ref="F52:G52"/>
    <mergeCell ref="A17:B17"/>
    <mergeCell ref="C17:I17"/>
    <mergeCell ref="A18:B18"/>
    <mergeCell ref="C18:I18"/>
    <mergeCell ref="A20:I20"/>
    <mergeCell ref="A14:B14"/>
    <mergeCell ref="C14:I14"/>
    <mergeCell ref="A15:B15"/>
    <mergeCell ref="C15:I15"/>
    <mergeCell ref="A16:B16"/>
    <mergeCell ref="C16:I16"/>
    <mergeCell ref="A10:I10"/>
    <mergeCell ref="A12:B12"/>
    <mergeCell ref="C12:I12"/>
    <mergeCell ref="A13:B13"/>
    <mergeCell ref="C13:I13"/>
    <mergeCell ref="A6:B6"/>
    <mergeCell ref="C6:D6"/>
    <mergeCell ref="F6:G6"/>
    <mergeCell ref="H6:I6"/>
    <mergeCell ref="A8:I8"/>
    <mergeCell ref="A1:E1"/>
    <mergeCell ref="A2:E2"/>
    <mergeCell ref="A3:E3"/>
    <mergeCell ref="A4:E4"/>
    <mergeCell ref="F1:I1"/>
    <mergeCell ref="F2:I2"/>
    <mergeCell ref="F3:I3"/>
    <mergeCell ref="F4:I4"/>
  </mergeCells>
  <pageMargins left="0.7" right="0.7" top="0.75" bottom="0.75" header="0.3" footer="0.3"/>
  <pageSetup scale="61" fitToHeight="0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HUONG_DAN!$A$2:$A$6</xm:f>
          </x14:formula1>
          <xm:sqref>C13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/>
  </sheetViews>
  <sheetFormatPr defaultRowHeight="14.25"/>
  <cols>
    <col min="1" max="1" width="20" customWidth="1"/>
    <col min="2" max="2" width="25" customWidth="1"/>
    <col min="3" max="4" width="35" customWidth="1"/>
  </cols>
  <sheetData>
    <row r="1" spans="1:4" ht="15">
      <c r="A1" s="15" t="s">
        <v>57</v>
      </c>
      <c r="B1" s="15" t="s">
        <v>58</v>
      </c>
      <c r="C1" s="15" t="s">
        <v>59</v>
      </c>
      <c r="D1" s="15" t="s">
        <v>60</v>
      </c>
    </row>
    <row r="2" spans="1:4">
      <c r="A2" s="16" t="s">
        <v>61</v>
      </c>
      <c r="B2" s="16" t="s">
        <v>9</v>
      </c>
      <c r="C2" s="16" t="s">
        <v>62</v>
      </c>
      <c r="D2" s="16" t="s">
        <v>63</v>
      </c>
    </row>
    <row r="3" spans="1:4">
      <c r="A3" s="16" t="s">
        <v>64</v>
      </c>
      <c r="B3" s="16" t="s">
        <v>16</v>
      </c>
      <c r="C3" s="16" t="s">
        <v>65</v>
      </c>
      <c r="D3" s="16" t="s">
        <v>66</v>
      </c>
    </row>
    <row r="4" spans="1:4">
      <c r="A4" s="16" t="s">
        <v>67</v>
      </c>
      <c r="B4" s="16" t="s">
        <v>18</v>
      </c>
      <c r="C4" s="16" t="s">
        <v>68</v>
      </c>
      <c r="D4" s="16" t="s">
        <v>69</v>
      </c>
    </row>
    <row r="5" spans="1:4">
      <c r="A5" s="16" t="s">
        <v>70</v>
      </c>
      <c r="B5" s="16" t="s">
        <v>20</v>
      </c>
      <c r="C5" s="16" t="s">
        <v>71</v>
      </c>
      <c r="D5" s="16" t="s">
        <v>72</v>
      </c>
    </row>
    <row r="6" spans="1:4">
      <c r="A6" s="16" t="s">
        <v>73</v>
      </c>
      <c r="B6" s="16" t="s">
        <v>22</v>
      </c>
      <c r="C6" s="16" t="s">
        <v>74</v>
      </c>
      <c r="D6" s="16" t="s">
        <v>75</v>
      </c>
    </row>
    <row r="7" spans="1:4">
      <c r="A7" s="16" t="s">
        <v>76</v>
      </c>
      <c r="B7" s="16" t="s">
        <v>24</v>
      </c>
      <c r="C7" s="16" t="s">
        <v>77</v>
      </c>
      <c r="D7" s="16" t="s">
        <v>78</v>
      </c>
    </row>
    <row r="8" spans="1:4">
      <c r="A8" s="16" t="s">
        <v>79</v>
      </c>
      <c r="B8" s="16" t="s">
        <v>26</v>
      </c>
      <c r="C8" s="16" t="s">
        <v>80</v>
      </c>
      <c r="D8" s="16" t="s">
        <v>81</v>
      </c>
    </row>
    <row r="9" spans="1:4" ht="28.5">
      <c r="A9" s="16" t="s">
        <v>82</v>
      </c>
      <c r="B9" s="16" t="s">
        <v>83</v>
      </c>
      <c r="C9" s="16" t="s">
        <v>84</v>
      </c>
      <c r="D9" s="16" t="s">
        <v>85</v>
      </c>
    </row>
    <row r="10" spans="1:4" ht="28.5">
      <c r="A10" s="16" t="s">
        <v>86</v>
      </c>
      <c r="B10" s="16" t="s">
        <v>87</v>
      </c>
      <c r="C10" s="16" t="s">
        <v>88</v>
      </c>
      <c r="D10" s="16" t="s">
        <v>89</v>
      </c>
    </row>
    <row r="11" spans="1:4">
      <c r="A11" s="16" t="s">
        <v>90</v>
      </c>
      <c r="B11" s="16" t="s">
        <v>51</v>
      </c>
      <c r="C11" s="16" t="s">
        <v>91</v>
      </c>
      <c r="D11" s="16" t="s">
        <v>92</v>
      </c>
    </row>
    <row r="12" spans="1:4">
      <c r="A12" s="16" t="s">
        <v>93</v>
      </c>
      <c r="B12" s="16" t="s">
        <v>94</v>
      </c>
      <c r="C12" s="16" t="s">
        <v>95</v>
      </c>
      <c r="D12" s="16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/>
  </sheetViews>
  <sheetFormatPr defaultRowHeight="14.25"/>
  <cols>
    <col min="1" max="1" width="25" customWidth="1"/>
    <col min="3" max="3" width="8" customWidth="1"/>
    <col min="4" max="4" width="80" customWidth="1"/>
  </cols>
  <sheetData>
    <row r="1" spans="1:8" ht="20.25">
      <c r="A1" t="s">
        <v>66</v>
      </c>
      <c r="C1" s="38" t="s">
        <v>97</v>
      </c>
      <c r="D1" s="39"/>
      <c r="E1" s="39"/>
      <c r="F1" s="39"/>
      <c r="G1" s="39"/>
      <c r="H1" s="39"/>
    </row>
    <row r="2" spans="1:8">
      <c r="A2" t="s">
        <v>98</v>
      </c>
    </row>
    <row r="3" spans="1:8" ht="15">
      <c r="A3" t="s">
        <v>99</v>
      </c>
      <c r="C3" s="17" t="s">
        <v>100</v>
      </c>
      <c r="D3" s="16" t="s">
        <v>101</v>
      </c>
    </row>
    <row r="4" spans="1:8" ht="29.25">
      <c r="A4" t="s">
        <v>102</v>
      </c>
      <c r="C4" s="17" t="s">
        <v>103</v>
      </c>
      <c r="D4" s="16" t="s">
        <v>104</v>
      </c>
    </row>
    <row r="5" spans="1:8" ht="15">
      <c r="A5" t="s">
        <v>105</v>
      </c>
      <c r="C5" s="17" t="s">
        <v>106</v>
      </c>
      <c r="D5" s="16" t="s">
        <v>107</v>
      </c>
    </row>
    <row r="6" spans="1:8" ht="15">
      <c r="A6" t="s">
        <v>108</v>
      </c>
      <c r="C6" s="17" t="s">
        <v>109</v>
      </c>
      <c r="D6" s="16" t="s">
        <v>110</v>
      </c>
    </row>
    <row r="7" spans="1:8" ht="29.25">
      <c r="C7" s="17" t="s">
        <v>111</v>
      </c>
      <c r="D7" s="16" t="s">
        <v>112</v>
      </c>
    </row>
    <row r="8" spans="1:8" ht="29.25">
      <c r="C8" s="17" t="s">
        <v>113</v>
      </c>
      <c r="D8" s="16" t="s">
        <v>114</v>
      </c>
    </row>
  </sheetData>
  <mergeCells count="1"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BAO_GIA_THANH_HOAI</vt:lpstr>
      <vt:lpstr>ERP_FIELD_MAP</vt:lpstr>
      <vt:lpstr>HUONG_DAN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anh quan phan tran</cp:lastModifiedBy>
  <cp:lastPrinted>2026-07-07T19:57:20Z</cp:lastPrinted>
  <dcterms:modified xsi:type="dcterms:W3CDTF">2026-07-07T19:58:40Z</dcterms:modified>
</cp:coreProperties>
</file>