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25afb5bd446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6_DCCN" sheetId="1" r:id="Rc2d154f8a85148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64E63"/>
      <x:name val="Carlito"/>
    </x:font>
    <x:font>
      <x:i/>
      <x:sz val="11"/>
      <x:color rgb="FF475569"/>
      <x:name val="Carlito"/>
    </x:font>
    <x:font>
      <x:b/>
      <x:sz val="12"/>
      <x:color rgb="FF111827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CCFBF1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right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19b99f38f34200" /><Relationship Type="http://schemas.openxmlformats.org/officeDocument/2006/relationships/theme" Target="/xl/theme/theme1.xml" Id="Ree38ebaf9f124791" /><Relationship Type="http://schemas.openxmlformats.org/officeDocument/2006/relationships/sharedStrings" Target="/xl/sharedStrings.xml" Id="R7c5c124c1d324099" /><Relationship Type="http://schemas.openxmlformats.org/officeDocument/2006/relationships/worksheet" Target="/xl/worksheets/sheet1.xml" Id="Rc2d154f8a85148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22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  <x:col min="8" max="8" width="26" hidden="0" customWidth="1"/>
  </x:cols>
  <x:sheetData>
    <x:row r="1" ht="28" customHeight="1">
      <x:c r="A1" s="5" t="str">
        <x:v>BIÊN BẢN ĐỐI CHIẾU CÔNG NỢ</x:v>
      </x:c>
    </x:row>
    <x:row r="2" ht="20" customHeight="1">
      <x:c r="A2" s="13" t="str">
        <x:v>Theo dõi phát sinh tăng/giảm, thanh toán và dư nợ còn lại.</x:v>
      </x:c>
    </x:row>
    <x:row r="4">
      <x:c r="A4" s="25" t="str">
        <x:v>CÔNG TY TNHH MTV CƠ ĐIỆN LẠNH THANH HOÀI</x:v>
      </x:c>
    </x:row>
    <x:row r="5">
      <x:c r="A5" s="35" t="str">
        <x:v>MST</x:v>
      </x:c>
      <x:c r="B5" s="30" t="str">
        <x:v>{{company_tax_id}}</x:v>
      </x:c>
      <x:c r="C5" s="35" t="str">
        <x:v>Địa chỉ</x:v>
      </x:c>
      <x:c r="D5" s="30" t="str">
        <x:v>{{company_address}}</x:v>
      </x:c>
      <x:c r="E5" s="30"/>
      <x:c r="F5" s="30"/>
      <x:c r="G5" s="30"/>
      <x:c r="H5" s="30"/>
    </x:row>
    <x:row r="6">
      <x:c r="A6" s="35" t="str">
        <x:v>Điện thoại</x:v>
      </x:c>
      <x:c r="B6" s="30" t="str">
        <x:v>{{company_phone}}</x:v>
      </x:c>
      <x:c r="C6" s="35" t="str">
        <x:v>Email</x:v>
      </x:c>
      <x:c r="D6" s="30" t="str">
        <x:v>{{company_email}}</x:v>
      </x:c>
      <x:c r="E6" s="30"/>
      <x:c r="F6" s="30"/>
      <x:c r="G6" s="30"/>
      <x:c r="H6" s="30"/>
    </x:row>
    <x:row r="7">
      <x:c r="A7" s="35" t="str">
        <x:v>Tài khoản</x:v>
      </x:c>
      <x:c r="B7" s="30" t="str">
        <x:v>{{bank_account_no}}</x:v>
      </x:c>
      <x:c r="C7" s="35" t="str">
        <x:v>Ngân hàng</x:v>
      </x:c>
      <x:c r="D7" s="30" t="str">
        <x:v>{{bank_name}}</x:v>
      </x:c>
      <x:c r="E7" s="30"/>
      <x:c r="F7" s="30"/>
      <x:c r="G7" s="30"/>
      <x:c r="H7" s="30"/>
    </x:row>
    <x:row r="9">
      <x:c r="A9" s="30" t="str">
        <x:v>Số DCCN</x:v>
      </x:c>
      <x:c r="B9" s="30" t="str">
        <x:v>{{dccn_no}}</x:v>
      </x:c>
      <x:c r="C9" s="30" t="str">
        <x:v>Kỳ từ</x:v>
      </x:c>
      <x:c r="D9" s="30" t="str">
        <x:v>{{from_date}}</x:v>
      </x:c>
      <x:c r="E9" s="30" t="str">
        <x:v>Đến</x:v>
      </x:c>
      <x:c r="F9" s="30" t="str">
        <x:v>{{to_date}}</x:v>
      </x:c>
      <x:c r="G9" s="30"/>
      <x:c r="H9" s="30"/>
    </x:row>
    <x:row r="10">
      <x:c r="A10" s="30" t="str">
        <x:v>Bên mua</x:v>
      </x:c>
      <x:c r="B10" s="30" t="str">
        <x:v>{{customer_name}}</x:v>
      </x:c>
      <x:c r="C10" s="30" t="str">
        <x:v>Địa chỉ</x:v>
      </x:c>
      <x:c r="D10" s="30" t="str">
        <x:v>{{customer_address}}</x:v>
      </x:c>
      <x:c r="E10" s="30"/>
      <x:c r="F10" s="30"/>
      <x:c r="G10" s="30"/>
      <x:c r="H10" s="30"/>
    </x:row>
    <x:row r="11">
      <x:c r="A11" s="30" t="str">
        <x:v>Đại diện Bên mua</x:v>
      </x:c>
      <x:c r="B11" s="30" t="str">
        <x:v>{{party_a_rep}}</x:v>
      </x:c>
      <x:c r="C11" s="30" t="str">
        <x:v>Chức vụ</x:v>
      </x:c>
      <x:c r="D11" s="30" t="str">
        <x:v>{{party_a_title}}</x:v>
      </x:c>
      <x:c r="E11" s="30"/>
      <x:c r="F11" s="30"/>
      <x:c r="G11" s="30"/>
      <x:c r="H11" s="30"/>
    </x:row>
    <x:row r="12">
      <x:c r="A12" s="30" t="str">
        <x:v>Bên bán</x:v>
      </x:c>
      <x:c r="B12" s="30" t="str">
        <x:v>CÔNG TY TNHH MTV CƠ ĐIỆN LẠNH THANH HOÀI</x:v>
      </x:c>
      <x:c r="C12" s="30" t="str">
        <x:v>Đại diện</x:v>
      </x:c>
      <x:c r="D12" s="30" t="str">
        <x:v>PHAN TRẦN ANH QUÂN</x:v>
      </x:c>
      <x:c r="E12" s="30" t="str">
        <x:v>Chức vụ</x:v>
      </x:c>
      <x:c r="F12" s="30" t="str">
        <x:v>Giám đốc</x:v>
      </x:c>
      <x:c r="G12" s="30"/>
      <x:c r="H12" s="30"/>
    </x:row>
    <x:row r="13">
      <x:c r="A13" s="30" t="str">
        <x:v>Căn cứ</x:v>
      </x:c>
      <x:c r="B13" s="30" t="str">
        <x:v>{{contract_and_document_basis}}</x:v>
      </x:c>
      <x:c r="C13" s="30"/>
      <x:c r="D13" s="30"/>
      <x:c r="E13" s="30"/>
      <x:c r="F13" s="30"/>
      <x:c r="G13" s="30"/>
      <x:c r="H13" s="30"/>
    </x:row>
    <x:row r="15">
      <x:c r="A15" s="42" t="str">
        <x:v>STT</x:v>
      </x:c>
      <x:c r="B15" s="42" t="str">
        <x:v>Ngày</x:v>
      </x:c>
      <x:c r="C15" s="42" t="str">
        <x:v>Số chứng từ</x:v>
      </x:c>
      <x:c r="D15" s="42" t="str">
        <x:v>Nội dung</x:v>
      </x:c>
      <x:c r="E15" s="42" t="str">
        <x:v>Phát sinh tăng</x:v>
      </x:c>
      <x:c r="F15" s="42" t="str">
        <x:v>Đã thanh toán</x:v>
      </x:c>
      <x:c r="G15" s="42" t="str">
        <x:v>Dư nợ</x:v>
      </x:c>
      <x:c r="H15" s="42" t="str">
        <x:v>Ghi chú</x:v>
      </x:c>
    </x:row>
    <x:row r="16">
      <x:c r="A16" s="30" t="str">
        <x:v>1</x:v>
      </x:c>
      <x:c r="B16" s="30" t="str">
        <x:v>{{date}}</x:v>
      </x:c>
      <x:c r="C16" s="30" t="str">
        <x:v>{{ref}}</x:v>
      </x:c>
      <x:c r="D16" s="30" t="str">
        <x:v>Giá trị hợp đồng / báo giá</x:v>
      </x:c>
      <x:c r="E16" s="48" t="str">
        <x:v>{{amount}}</x:v>
      </x:c>
      <x:c r="F16" s="48" t="str"/>
      <x:c r="G16" s="48" t="n">
        <x:f>IF(AND(E16="",F16=""),"",N(E16)-N(F16))</x:f>
        <x:v>0</x:v>
      </x:c>
      <x:c r="H16" s="30" t="str"/>
    </x:row>
    <x:row r="17">
      <x:c r="A17" s="30" t="str">
        <x:v>2</x:v>
      </x:c>
      <x:c r="B17" s="30" t="str">
        <x:v>{{date}}</x:v>
      </x:c>
      <x:c r="C17" s="30" t="str">
        <x:v>{{payment_ref}}</x:v>
      </x:c>
      <x:c r="D17" s="30" t="str">
        <x:v>Thanh toán đợt 1</x:v>
      </x:c>
      <x:c r="E17" s="48" t="str"/>
      <x:c r="F17" s="48" t="str">
        <x:v>{{paid}}</x:v>
      </x:c>
      <x:c r="G17" s="48" t="n">
        <x:f>IF(AND(E17="",F17=""),"",N(G16)+N(E17)-N(F17))</x:f>
        <x:v>0</x:v>
      </x:c>
      <x:c r="H17" s="30" t="str"/>
    </x:row>
    <x:row r="18">
      <x:c r="A18" s="30" t="str">
        <x:v>3</x:v>
      </x:c>
      <x:c r="B18" s="30"/>
      <x:c r="C18" s="30"/>
      <x:c r="D18" s="30"/>
      <x:c r="E18" s="48"/>
      <x:c r="F18" s="48"/>
      <x:c r="G18" s="48" t="str">
        <x:f>IF(AND(E18="",F18=""),"",N(G17)+N(E18)-N(F18))</x:f>
      </x:c>
      <x:c r="H18" s="30"/>
    </x:row>
    <x:row r="19">
      <x:c r="A19" s="30" t="str">
        <x:v>4</x:v>
      </x:c>
      <x:c r="B19" s="30"/>
      <x:c r="C19" s="30"/>
      <x:c r="D19" s="30"/>
      <x:c r="E19" s="48"/>
      <x:c r="F19" s="48"/>
      <x:c r="G19" s="48" t="str">
        <x:f>IF(AND(E19="",F19=""),"",N(G18)+N(E19)-N(F19))</x:f>
      </x:c>
      <x:c r="H19" s="30"/>
    </x:row>
    <x:row r="20">
      <x:c r="A20" s="30" t="str">
        <x:v>5</x:v>
      </x:c>
      <x:c r="B20" s="30"/>
      <x:c r="C20" s="30"/>
      <x:c r="D20" s="30"/>
      <x:c r="E20" s="48"/>
      <x:c r="F20" s="48"/>
      <x:c r="G20" s="48" t="str">
        <x:f>IF(AND(E20="",F20=""),"",N(G19)+N(E20)-N(F20))</x:f>
      </x:c>
      <x:c r="H20" s="30"/>
    </x:row>
    <x:row r="21">
      <x:c r="A21" s="30" t="str">
        <x:v>6</x:v>
      </x:c>
      <x:c r="B21" s="30"/>
      <x:c r="C21" s="30"/>
      <x:c r="D21" s="30"/>
      <x:c r="E21" s="48"/>
      <x:c r="F21" s="48"/>
      <x:c r="G21" s="48" t="str">
        <x:f>IF(AND(E21="",F21=""),"",N(G20)+N(E21)-N(F21))</x:f>
      </x:c>
      <x:c r="H21" s="30"/>
    </x:row>
    <x:row r="22">
      <x:c r="A22" s="30" t="str">
        <x:v>7</x:v>
      </x:c>
      <x:c r="B22" s="30"/>
      <x:c r="C22" s="30"/>
      <x:c r="D22" s="30"/>
      <x:c r="E22" s="48"/>
      <x:c r="F22" s="48"/>
      <x:c r="G22" s="48" t="str">
        <x:f>IF(AND(E22="",F22=""),"",N(G21)+N(E22)-N(F22))</x:f>
      </x:c>
      <x:c r="H22" s="30"/>
    </x:row>
    <x:row r="23">
      <x:c r="A23" s="30" t="str">
        <x:v>8</x:v>
      </x:c>
      <x:c r="B23" s="30"/>
      <x:c r="C23" s="30"/>
      <x:c r="D23" s="30"/>
      <x:c r="E23" s="48"/>
      <x:c r="F23" s="48"/>
      <x:c r="G23" s="48" t="str">
        <x:f>IF(AND(E23="",F23=""),"",N(G22)+N(E23)-N(F23))</x:f>
      </x:c>
      <x:c r="H23" s="30"/>
    </x:row>
    <x:row r="24">
      <x:c r="A24" s="30" t="str">
        <x:v>9</x:v>
      </x:c>
      <x:c r="B24" s="30"/>
      <x:c r="C24" s="30"/>
      <x:c r="D24" s="30"/>
      <x:c r="E24" s="48"/>
      <x:c r="F24" s="48"/>
      <x:c r="G24" s="48" t="str">
        <x:f>IF(AND(E24="",F24=""),"",N(G23)+N(E24)-N(F24))</x:f>
      </x:c>
      <x:c r="H24" s="30"/>
    </x:row>
    <x:row r="25">
      <x:c r="A25" s="30" t="str">
        <x:v>10</x:v>
      </x:c>
      <x:c r="B25" s="30"/>
      <x:c r="C25" s="30"/>
      <x:c r="D25" s="30"/>
      <x:c r="E25" s="48"/>
      <x:c r="F25" s="48"/>
      <x:c r="G25" s="48" t="str">
        <x:f>IF(AND(E25="",F25=""),"",N(G24)+N(E25)-N(F25))</x:f>
      </x:c>
      <x:c r="H25" s="30"/>
    </x:row>
    <x:row r="26">
      <x:c r="A26" s="30" t="str">
        <x:v>11</x:v>
      </x:c>
      <x:c r="B26" s="30"/>
      <x:c r="C26" s="30"/>
      <x:c r="D26" s="30"/>
      <x:c r="E26" s="48"/>
      <x:c r="F26" s="48"/>
      <x:c r="G26" s="48" t="str">
        <x:f>IF(AND(E26="",F26=""),"",N(G25)+N(E26)-N(F26))</x:f>
      </x:c>
      <x:c r="H26" s="30"/>
    </x:row>
    <x:row r="27">
      <x:c r="A27" s="30" t="str">
        <x:v>12</x:v>
      </x:c>
      <x:c r="B27" s="30"/>
      <x:c r="C27" s="30"/>
      <x:c r="D27" s="30"/>
      <x:c r="E27" s="48"/>
      <x:c r="F27" s="48"/>
      <x:c r="G27" s="48" t="str">
        <x:f>IF(AND(E27="",F27=""),"",N(G26)+N(E27)-N(F27))</x:f>
      </x:c>
      <x:c r="H27" s="30"/>
    </x:row>
    <x:row r="28">
      <x:c r="A28" s="30" t="str">
        <x:v>13</x:v>
      </x:c>
      <x:c r="B28" s="30"/>
      <x:c r="C28" s="30"/>
      <x:c r="D28" s="30"/>
      <x:c r="E28" s="48"/>
      <x:c r="F28" s="48"/>
      <x:c r="G28" s="48" t="str">
        <x:f>IF(AND(E28="",F28=""),"",N(G27)+N(E28)-N(F28))</x:f>
      </x:c>
      <x:c r="H28" s="30"/>
    </x:row>
    <x:row r="29">
      <x:c r="A29" s="30" t="str">
        <x:v>14</x:v>
      </x:c>
      <x:c r="B29" s="30"/>
      <x:c r="C29" s="30"/>
      <x:c r="D29" s="30"/>
      <x:c r="E29" s="48"/>
      <x:c r="F29" s="48"/>
      <x:c r="G29" s="48" t="str">
        <x:f>IF(AND(E29="",F29=""),"",N(G28)+N(E29)-N(F29))</x:f>
      </x:c>
      <x:c r="H29" s="30"/>
    </x:row>
    <x:row r="30">
      <x:c r="A30" s="30" t="str">
        <x:v>15</x:v>
      </x:c>
      <x:c r="B30" s="30"/>
      <x:c r="C30" s="30"/>
      <x:c r="D30" s="30"/>
      <x:c r="E30" s="48"/>
      <x:c r="F30" s="48"/>
      <x:c r="G30" s="48" t="str">
        <x:f>IF(AND(E30="",F30=""),"",N(G29)+N(E30)-N(F30))</x:f>
      </x:c>
      <x:c r="H30" s="30"/>
    </x:row>
    <x:row r="31">
      <x:c r="A31" s="30" t="str">
        <x:v>16</x:v>
      </x:c>
      <x:c r="B31" s="30"/>
      <x:c r="C31" s="30"/>
      <x:c r="D31" s="30"/>
      <x:c r="E31" s="48"/>
      <x:c r="F31" s="48"/>
      <x:c r="G31" s="48" t="str">
        <x:f>IF(AND(E31="",F31=""),"",N(G30)+N(E31)-N(F31))</x:f>
      </x:c>
      <x:c r="H31" s="30"/>
    </x:row>
    <x:row r="32">
      <x:c r="A32" s="30" t="str">
        <x:v>17</x:v>
      </x:c>
      <x:c r="B32" s="30"/>
      <x:c r="C32" s="30"/>
      <x:c r="D32" s="30"/>
      <x:c r="E32" s="48"/>
      <x:c r="F32" s="48"/>
      <x:c r="G32" s="48" t="str">
        <x:f>IF(AND(E32="",F32=""),"",N(G31)+N(E32)-N(F32))</x:f>
      </x:c>
      <x:c r="H32" s="30"/>
    </x:row>
    <x:row r="33">
      <x:c r="A33" s="30" t="str">
        <x:v>18</x:v>
      </x:c>
      <x:c r="B33" s="30"/>
      <x:c r="C33" s="30"/>
      <x:c r="D33" s="30"/>
      <x:c r="E33" s="48"/>
      <x:c r="F33" s="48"/>
      <x:c r="G33" s="48" t="str">
        <x:f>IF(AND(E33="",F33=""),"",N(G32)+N(E33)-N(F33))</x:f>
      </x:c>
      <x:c r="H33" s="30"/>
    </x:row>
    <x:row r="34">
      <x:c r="A34" s="30" t="str">
        <x:v>19</x:v>
      </x:c>
      <x:c r="B34" s="30"/>
      <x:c r="C34" s="30"/>
      <x:c r="D34" s="30"/>
      <x:c r="E34" s="48"/>
      <x:c r="F34" s="48"/>
      <x:c r="G34" s="48" t="str">
        <x:f>IF(AND(E34="",F34=""),"",N(G33)+N(E34)-N(F34))</x:f>
      </x:c>
      <x:c r="H34" s="30"/>
    </x:row>
    <x:row r="35">
      <x:c r="A35" s="30" t="str">
        <x:v>20</x:v>
      </x:c>
      <x:c r="B35" s="30"/>
      <x:c r="C35" s="30"/>
      <x:c r="D35" s="30"/>
      <x:c r="E35" s="48"/>
      <x:c r="F35" s="48"/>
      <x:c r="G35" s="48" t="str">
        <x:f>IF(AND(E35="",F35=""),"",N(G34)+N(E35)-N(F35))</x:f>
      </x:c>
      <x:c r="H35" s="30"/>
    </x:row>
    <x:row r="36">
      <x:c r="A36" s="30" t="str">
        <x:v>21</x:v>
      </x:c>
      <x:c r="B36" s="30"/>
      <x:c r="C36" s="30"/>
      <x:c r="D36" s="30"/>
      <x:c r="E36" s="48"/>
      <x:c r="F36" s="48"/>
      <x:c r="G36" s="48" t="str">
        <x:f>IF(AND(E36="",F36=""),"",N(G35)+N(E36)-N(F36))</x:f>
      </x:c>
      <x:c r="H36" s="30"/>
    </x:row>
    <x:row r="37">
      <x:c r="A37" s="30" t="str">
        <x:v>22</x:v>
      </x:c>
      <x:c r="B37" s="30"/>
      <x:c r="C37" s="30"/>
      <x:c r="D37" s="30"/>
      <x:c r="E37" s="48"/>
      <x:c r="F37" s="48"/>
      <x:c r="G37" s="48" t="str">
        <x:f>IF(AND(E37="",F37=""),"",N(G36)+N(E37)-N(F37))</x:f>
      </x:c>
      <x:c r="H37" s="30"/>
    </x:row>
    <x:row r="38">
      <x:c r="A38" s="30" t="str">
        <x:v>23</x:v>
      </x:c>
      <x:c r="B38" s="30"/>
      <x:c r="C38" s="30"/>
      <x:c r="D38" s="30"/>
      <x:c r="E38" s="48"/>
      <x:c r="F38" s="48"/>
      <x:c r="G38" s="48" t="str">
        <x:f>IF(AND(E38="",F38=""),"",N(G37)+N(E38)-N(F38))</x:f>
      </x:c>
      <x:c r="H38" s="30"/>
    </x:row>
    <x:row r="39">
      <x:c r="A39" s="30" t="str">
        <x:v>24</x:v>
      </x:c>
      <x:c r="B39" s="30"/>
      <x:c r="C39" s="30"/>
      <x:c r="D39" s="30"/>
      <x:c r="E39" s="48"/>
      <x:c r="F39" s="48"/>
      <x:c r="G39" s="48" t="str">
        <x:f>IF(AND(E39="",F39=""),"",N(G38)+N(E39)-N(F39))</x:f>
      </x:c>
      <x:c r="H39" s="30"/>
    </x:row>
    <x:row r="40">
      <x:c r="A40" s="30" t="str">
        <x:v>25</x:v>
      </x:c>
      <x:c r="B40" s="30"/>
      <x:c r="C40" s="30"/>
      <x:c r="D40" s="30"/>
      <x:c r="E40" s="48"/>
      <x:c r="F40" s="48"/>
      <x:c r="G40" s="48" t="str">
        <x:f>IF(AND(E40="",F40=""),"",N(G39)+N(E40)-N(F40))</x:f>
      </x:c>
      <x:c r="H40" s="30"/>
    </x:row>
    <x:row r="41">
      <x:c r="A41" s="30" t="str">
        <x:v>26</x:v>
      </x:c>
      <x:c r="B41" s="30"/>
      <x:c r="C41" s="30"/>
      <x:c r="D41" s="30"/>
      <x:c r="E41" s="48"/>
      <x:c r="F41" s="48"/>
      <x:c r="G41" s="48" t="str">
        <x:f>IF(AND(E41="",F41=""),"",N(G40)+N(E41)-N(F41))</x:f>
      </x:c>
      <x:c r="H41" s="30"/>
    </x:row>
    <x:row r="42">
      <x:c r="A42" s="30" t="str">
        <x:v>27</x:v>
      </x:c>
      <x:c r="B42" s="30"/>
      <x:c r="C42" s="30"/>
      <x:c r="D42" s="30"/>
      <x:c r="E42" s="48"/>
      <x:c r="F42" s="48"/>
      <x:c r="G42" s="48" t="str">
        <x:f>IF(AND(E42="",F42=""),"",N(G41)+N(E42)-N(F42))</x:f>
      </x:c>
      <x:c r="H42" s="30"/>
    </x:row>
    <x:row r="43">
      <x:c r="A43" s="30" t="str">
        <x:v>28</x:v>
      </x:c>
      <x:c r="B43" s="30"/>
      <x:c r="C43" s="30"/>
      <x:c r="D43" s="30"/>
      <x:c r="E43" s="48"/>
      <x:c r="F43" s="48"/>
      <x:c r="G43" s="48" t="str">
        <x:f>IF(AND(E43="",F43=""),"",N(G42)+N(E43)-N(F43))</x:f>
      </x:c>
      <x:c r="H43" s="30"/>
    </x:row>
    <x:row r="44">
      <x:c r="A44" s="30" t="str">
        <x:v>29</x:v>
      </x:c>
      <x:c r="B44" s="30"/>
      <x:c r="C44" s="30"/>
      <x:c r="D44" s="30"/>
      <x:c r="E44" s="48"/>
      <x:c r="F44" s="48"/>
      <x:c r="G44" s="48" t="str">
        <x:f>IF(AND(E44="",F44=""),"",N(G43)+N(E44)-N(F44))</x:f>
      </x:c>
      <x:c r="H44" s="30"/>
    </x:row>
    <x:row r="45">
      <x:c r="A45" s="30" t="str">
        <x:v>30</x:v>
      </x:c>
      <x:c r="B45" s="30"/>
      <x:c r="C45" s="30"/>
      <x:c r="D45" s="30"/>
      <x:c r="E45" s="48"/>
      <x:c r="F45" s="48"/>
      <x:c r="G45" s="48" t="str">
        <x:f>IF(AND(E45="",F45=""),"",N(G44)+N(E45)-N(F45))</x:f>
      </x:c>
      <x:c r="H45" s="30"/>
    </x:row>
    <x:row r="46">
      <x:c r="A46" s="30" t="str">
        <x:v>31</x:v>
      </x:c>
      <x:c r="B46" s="30"/>
      <x:c r="C46" s="30"/>
      <x:c r="D46" s="30"/>
      <x:c r="E46" s="48"/>
      <x:c r="F46" s="48"/>
      <x:c r="G46" s="48" t="str">
        <x:f>IF(AND(E46="",F46=""),"",N(G45)+N(E46)-N(F46))</x:f>
      </x:c>
      <x:c r="H46" s="30"/>
    </x:row>
    <x:row r="47">
      <x:c r="A47" s="30" t="str">
        <x:v>32</x:v>
      </x:c>
      <x:c r="B47" s="30"/>
      <x:c r="C47" s="30"/>
      <x:c r="D47" s="30"/>
      <x:c r="E47" s="48"/>
      <x:c r="F47" s="48"/>
      <x:c r="G47" s="48" t="str">
        <x:f>IF(AND(E47="",F47=""),"",N(G46)+N(E47)-N(F47))</x:f>
      </x:c>
      <x:c r="H47" s="30"/>
    </x:row>
    <x:row r="48">
      <x:c r="A48" s="30" t="str">
        <x:v>33</x:v>
      </x:c>
      <x:c r="B48" s="30"/>
      <x:c r="C48" s="30"/>
      <x:c r="D48" s="30"/>
      <x:c r="E48" s="48"/>
      <x:c r="F48" s="48"/>
      <x:c r="G48" s="48" t="str">
        <x:f>IF(AND(E48="",F48=""),"",N(G47)+N(E48)-N(F48))</x:f>
      </x:c>
      <x:c r="H48" s="30"/>
    </x:row>
    <x:row r="49">
      <x:c r="A49" s="30" t="str">
        <x:v>34</x:v>
      </x:c>
      <x:c r="B49" s="30"/>
      <x:c r="C49" s="30"/>
      <x:c r="D49" s="30"/>
      <x:c r="E49" s="48"/>
      <x:c r="F49" s="48"/>
      <x:c r="G49" s="48" t="str">
        <x:f>IF(AND(E49="",F49=""),"",N(G48)+N(E49)-N(F49))</x:f>
      </x:c>
      <x:c r="H49" s="30"/>
    </x:row>
    <x:row r="50">
      <x:c r="A50" s="30" t="str">
        <x:v>35</x:v>
      </x:c>
      <x:c r="B50" s="30"/>
      <x:c r="C50" s="30"/>
      <x:c r="D50" s="30"/>
      <x:c r="E50" s="48"/>
      <x:c r="F50" s="48"/>
      <x:c r="G50" s="48" t="str">
        <x:f>IF(AND(E50="",F50=""),"",N(G49)+N(E50)-N(F50))</x:f>
      </x:c>
      <x:c r="H50" s="30"/>
    </x:row>
    <x:row r="52">
      <x:c r="E52" s="51" t="str">
        <x:v>Tổng phát sinh</x:v>
      </x:c>
      <x:c r="F52"/>
      <x:c r="G52" s="55" t="n">
        <x:f>SUM(E16:E50)</x:f>
        <x:v>0</x:v>
      </x:c>
    </x:row>
    <x:row r="53">
      <x:c r="E53" s="51" t="str">
        <x:v>Tổng thanh toán</x:v>
      </x:c>
      <x:c r="F53"/>
      <x:c r="G53" s="55" t="n">
        <x:f>SUM(F16:F50)</x:f>
        <x:v>0</x:v>
      </x:c>
    </x:row>
    <x:row r="54">
      <x:c r="E54" s="51" t="str">
        <x:v>Số tiền còn lại</x:v>
      </x:c>
      <x:c r="F54"/>
      <x:c r="G54" s="55" t="n">
        <x:f>G52-G53</x:f>
        <x:v>0</x:v>
      </x:c>
    </x:row>
    <x:row r="55">
      <x:c r="E55" s="51" t="str">
        <x:v>Số liệu khách xác nhận</x:v>
      </x:c>
      <x:c r="F55"/>
      <x:c r="G55" s="55" t="str">
        <x:v>{{customer_confirm_amount}}</x:v>
      </x:c>
    </x:row>
    <x:row r="56">
      <x:c r="E56" s="51" t="str">
        <x:v>Chênh lệch</x:v>
      </x:c>
      <x:c r="F56"/>
      <x:c r="G56" s="55" t="n">
        <x:f>N(G55)-N(G54)</x:f>
        <x:v>0</x:v>
      </x:c>
    </x:row>
    <x:row r="59">
      <x:c r="A59" s="30" t="str">
        <x:v>Kết luận</x:v>
      </x:c>
      <x:c r="B59" s="30" t="str">
        <x:v>Hai bên thống nhất xác nhận số công nợ còn lại theo bảng trên. Trường hợp có chênh lệch, hai bên ghi rõ nguyên nhân và chứng từ liên quan.</x:v>
      </x:c>
      <x:c r="C59" s="30"/>
      <x:c r="D59" s="30"/>
      <x:c r="E59" s="30"/>
      <x:c r="F59" s="30"/>
      <x:c r="G59" s="30"/>
      <x:c r="H59" s="30"/>
    </x:row>
    <x:row r="60">
      <x:c r="A60" s="30" t="str">
        <x:v>Bằng chữ</x:v>
      </x:c>
      <x:c r="B60" s="30" t="str">
        <x:v>{{remaining_in_words}}</x:v>
      </x:c>
      <x:c r="C60" s="30"/>
      <x:c r="D60" s="30"/>
      <x:c r="E60" s="30"/>
      <x:c r="F60" s="30"/>
      <x:c r="G60" s="30"/>
      <x:c r="H60" s="30"/>
    </x:row>
    <x:row r="61">
      <x:c r="A61" s="30" t="str">
        <x:v>File scan ERP</x:v>
      </x:c>
      <x:c r="B61" s="30" t="str">
        <x:v>{{file_scan}}</x:v>
      </x:c>
      <x:c r="C61" s="30"/>
      <x:c r="D61" s="30"/>
      <x:c r="E61" s="30"/>
      <x:c r="F61" s="30"/>
      <x:c r="G61" s="30"/>
      <x:c r="H61" s="30"/>
    </x:row>
    <x:row r="68">
      <x:c r="A68" s="58" t="str">
        <x:v>ĐẠI DIỆN BÊN A</x:v>
      </x:c>
      <x:c r="B68" s="58"/>
      <x:c r="C68" s="58"/>
      <x:c r="D68" s="58"/>
      <x:c r="G68" s="58" t="str">
        <x:v>ĐẠI DIỆN BÊN B</x:v>
      </x:c>
      <x:c r="H68" s="58"/>
    </x:row>
    <x:row r="69">
      <x:c r="A69" s="62" t="str">
        <x:v>(Ký, ghi rõ họ tên, đóng dấu nếu có)</x:v>
      </x:c>
      <x:c r="B69" s="62"/>
      <x:c r="C69" s="62"/>
      <x:c r="D69" s="62"/>
      <x:c r="E69" s="62"/>
      <x:c r="F69" s="62"/>
      <x:c r="G69" s="62" t="str">
        <x:v>(Ký, ghi rõ họ tên, đóng dấu nếu có)</x:v>
      </x:c>
      <x:c r="H69" s="62"/>
    </x:row>
    <x:row r="70">
      <x:c r="A70" s="62"/>
      <x:c r="B70" s="62"/>
      <x:c r="C70" s="62"/>
      <x:c r="D70" s="62"/>
      <x:c r="E70" s="62"/>
      <x:c r="F70" s="62"/>
      <x:c r="G70" s="62"/>
      <x:c r="H70" s="62"/>
    </x:row>
    <x:row r="71">
      <x:c r="A71" s="62"/>
      <x:c r="B71" s="62"/>
      <x:c r="C71" s="62"/>
      <x:c r="D71" s="62"/>
      <x:c r="E71" s="62"/>
      <x:c r="F71" s="62"/>
      <x:c r="G71" s="62"/>
      <x:c r="H71" s="62"/>
    </x:row>
    <x:row r="72">
      <x:c r="A72" s="62"/>
      <x:c r="B72" s="62"/>
      <x:c r="C72" s="62"/>
      <x:c r="D72" s="62"/>
      <x:c r="E72" s="62"/>
      <x:c r="F72" s="62"/>
      <x:c r="G72" s="62"/>
      <x:c r="H72" s="62"/>
    </x:row>
    <x:row r="73">
      <x:c r="A73" s="62"/>
      <x:c r="B73" s="62"/>
      <x:c r="C73" s="62"/>
      <x:c r="D73" s="62"/>
      <x:c r="E73" s="62"/>
      <x:c r="F73" s="62"/>
      <x:c r="G73" s="62"/>
      <x:c r="H73" s="62"/>
    </x:row>
    <x:row r="82">
      <x:c r="A82" s="20" t="str">
        <x:v>Lưu ý: Đây là template chuẩn hoá phục vụ ERP/Print Format. Trước khi phát hành chính thức cần kiểm tra số liệu, điều khoản và chữ ký/dấu.</x:v>
      </x:c>
    </x:row>
  </x:sheetData>
  <x:mergeCells>
    <x:mergeCell ref="A1:H1"/>
    <x:mergeCell ref="A2:H2"/>
    <x:mergeCell ref="A82:H82"/>
    <x:mergeCell ref="A4:H4"/>
    <x:mergeCell ref="A68:D68"/>
    <x:mergeCell ref="G68:H68"/>
    <x:mergeCell ref="A69:D69"/>
    <x:mergeCell ref="G69:H69"/>
  </x:mergeCells>
  <x:pageMargins left="0.7" right="0.7" top="0.75" bottom="0.75" header="0.3" footer="0.3"/>
</x:worksheet>
</file>