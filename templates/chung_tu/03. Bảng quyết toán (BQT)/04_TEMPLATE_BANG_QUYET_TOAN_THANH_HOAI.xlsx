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2429a808f4f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4_BQT" sheetId="1" r:id="R5384da5d656a4ba0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64E63"/>
      <x:name val="Carlito"/>
    </x:font>
    <x:font>
      <x:i/>
      <x:sz val="11"/>
      <x:color rgb="FF475569"/>
      <x:name val="Carlito"/>
    </x:font>
    <x:font>
      <x:b/>
      <x:sz val="12"/>
      <x:color rgb="FF111827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CCFBF1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</x:fills>
  <x:borders count="4">
    <x:border/>
    <x:border/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0" fillId="4" borderId="3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right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60e62213f4405" /><Relationship Type="http://schemas.openxmlformats.org/officeDocument/2006/relationships/theme" Target="/xl/theme/theme1.xml" Id="Rb5aa1653f2714259" /><Relationship Type="http://schemas.openxmlformats.org/officeDocument/2006/relationships/sheetMetadata" Target="/xl/metadata1.xml" Id="Rdcc9222f07df4d21" /><Relationship Type="http://schemas.openxmlformats.org/officeDocument/2006/relationships/sharedStrings" Target="/xl/sharedStrings.xml" Id="Ra154ca10fa9c4251" /><Relationship Type="http://schemas.openxmlformats.org/officeDocument/2006/relationships/worksheet" Target="/xl/worksheets/sheet1.xml" Id="R5384da5d656a4b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2" hidden="0" customWidth="1"/>
    <x:col min="3" max="3" width="10" hidden="0" customWidth="1"/>
    <x:col min="4" max="4" width="12" hidden="0" customWidth="1"/>
    <x:col min="5" max="5" width="15" hidden="0" customWidth="1"/>
    <x:col min="6" max="6" width="17" hidden="0" customWidth="1"/>
    <x:col min="7" max="7" width="12" hidden="0" customWidth="1"/>
    <x:col min="8" max="8" width="15" hidden="0" customWidth="1"/>
    <x:col min="9" max="9" width="17" hidden="0" customWidth="1"/>
    <x:col min="10" max="10" width="17" hidden="0" customWidth="1"/>
    <x:col min="11" max="11" width="28" hidden="0" customWidth="1"/>
  </x:cols>
  <x:sheetData>
    <x:row r="1" ht="28" customHeight="1">
      <x:c r="A1" s="5" t="str">
        <x:v>BẢNG QUYẾT TOÁN</x:v>
      </x:c>
    </x:row>
    <x:row r="2" ht="20" customHeight="1">
      <x:c r="A2" s="13" t="str">
        <x:v>So sánh báo giá/hợp đồng với thực tế nghiệm thu và phát sinh.</x:v>
      </x:c>
    </x:row>
    <x:row r="4">
      <x:c r="A4" s="25" t="str">
        <x:v>CÔNG TY TNHH MTV CƠ ĐIỆN LẠNH THANH HOÀI</x:v>
      </x:c>
    </x:row>
    <x:row r="5">
      <x:c r="A5" s="35" t="str">
        <x:v>MST</x:v>
      </x:c>
      <x:c r="B5" s="30" t="str">
        <x:v>{{company_tax_id}}</x:v>
      </x:c>
      <x:c r="C5" s="35" t="str">
        <x:v>Địa chỉ</x:v>
      </x:c>
      <x:c r="D5" s="30" t="str">
        <x:v>{{company_address}}</x:v>
      </x:c>
      <x:c r="E5" s="30"/>
      <x:c r="F5" s="30"/>
      <x:c r="G5" s="30"/>
      <x:c r="H5" s="30"/>
    </x:row>
    <x:row r="6">
      <x:c r="A6" s="35" t="str">
        <x:v>Điện thoại</x:v>
      </x:c>
      <x:c r="B6" s="30" t="str">
        <x:v>{{company_phone}}</x:v>
      </x:c>
      <x:c r="C6" s="35" t="str">
        <x:v>Email</x:v>
      </x:c>
      <x:c r="D6" s="30" t="str">
        <x:v>{{company_email}}</x:v>
      </x:c>
      <x:c r="E6" s="30"/>
      <x:c r="F6" s="30"/>
      <x:c r="G6" s="30"/>
      <x:c r="H6" s="30"/>
    </x:row>
    <x:row r="7">
      <x:c r="A7" s="35" t="str">
        <x:v>Tài khoản</x:v>
      </x:c>
      <x:c r="B7" s="30" t="str">
        <x:v>{{bank_account_no}}</x:v>
      </x:c>
      <x:c r="C7" s="35" t="str">
        <x:v>Ngân hàng</x:v>
      </x:c>
      <x:c r="D7" s="30" t="str">
        <x:v>{{bank_name}}</x:v>
      </x:c>
      <x:c r="E7" s="30"/>
      <x:c r="F7" s="30"/>
      <x:c r="G7" s="30"/>
      <x:c r="H7" s="30"/>
    </x:row>
    <x:row r="9">
      <x:c r="A9" s="30" t="str">
        <x:v>Số BQT</x:v>
      </x:c>
      <x:c r="B9" s="30" t="str">
        <x:v>{{bqt_no}}</x:v>
      </x:c>
      <x:c r="C9" s="30" t="str">
        <x:v>Ngày</x:v>
      </x:c>
      <x:c r="D9" s="30" t="str">
        <x:v>{{finalization_date}}</x:v>
      </x:c>
      <x:c r="E9" s="30"/>
      <x:c r="F9" s="30"/>
      <x:c r="G9" s="30"/>
      <x:c r="H9" s="30"/>
    </x:row>
    <x:row r="10">
      <x:c r="A10" s="30" t="str">
        <x:v>Khách hàng</x:v>
      </x:c>
      <x:c r="B10" s="30" t="str">
        <x:v>{{customer_name}}</x:v>
      </x:c>
      <x:c r="C10" s="30" t="str">
        <x:v>Công trình</x:v>
      </x:c>
      <x:c r="D10" s="30" t="str">
        <x:v>{{project_name}}</x:v>
      </x:c>
      <x:c r="E10" s="30"/>
      <x:c r="F10" s="30"/>
      <x:c r="G10" s="30"/>
      <x:c r="H10" s="30"/>
    </x:row>
    <x:row r="11">
      <x:c r="A11" s="30" t="str">
        <x:v>Báo giá gốc</x:v>
      </x:c>
      <x:c r="B11" s="30" t="str">
        <x:v>{{quotation_no}}</x:v>
      </x:c>
      <x:c r="C11" s="30" t="str">
        <x:v>BBNT liên quan</x:v>
      </x:c>
      <x:c r="D11" s="30" t="str">
        <x:v>{{bbnt_no}}</x:v>
      </x:c>
      <x:c r="E11" s="30"/>
      <x:c r="F11" s="30"/>
      <x:c r="G11" s="30"/>
      <x:c r="H11" s="30"/>
    </x:row>
    <x:row r="12">
      <x:c r="A12" s="30" t="str">
        <x:v>VAT</x:v>
      </x:c>
      <x:c r="B12" s="30" t="str">
        <x:v>{{vat_rate}}</x:v>
      </x:c>
      <x:c r="C12" s="30" t="str">
        <x:v>Đã thanh toán</x:v>
      </x:c>
      <x:c r="D12" s="30" t="str">
        <x:v>{{paid_amount}}</x:v>
      </x:c>
      <x:c r="E12" s="30"/>
      <x:c r="F12" s="30"/>
      <x:c r="G12" s="30"/>
      <x:c r="H12" s="30"/>
    </x:row>
    <x:row r="14">
      <x:c r="A14" s="42" t="str">
        <x:v>STT</x:v>
      </x:c>
      <x:c r="B14" s="42" t="str">
        <x:v>Hạng mục</x:v>
      </x:c>
      <x:c r="C14" s="42" t="str">
        <x:v>ĐVT</x:v>
      </x:c>
      <x:c r="D14" s="42" t="str">
        <x:v>KL BG</x:v>
      </x:c>
      <x:c r="E14" s="42" t="str">
        <x:v>ĐG BG</x:v>
      </x:c>
      <x:c r="F14" s="42" t="str">
        <x:v>TT BG</x:v>
      </x:c>
      <x:c r="G14" s="42" t="str">
        <x:v>KL TT</x:v>
      </x:c>
      <x:c r="H14" s="42" t="str">
        <x:v>ĐG TT</x:v>
      </x:c>
      <x:c r="I14" s="42" t="str">
        <x:v>TT thực tế</x:v>
      </x:c>
      <x:c r="J14" s="42" t="str">
        <x:v>Phát sinh</x:v>
      </x:c>
      <x:c r="K14" s="42" t="str">
        <x:v>Lý do / Ghi chú</x:v>
      </x:c>
    </x:row>
    <x:row r="15">
      <x:c r="A15" s="30" t="str">
        <x:v>1</x:v>
      </x:c>
      <x:c r="B15" s="30" t="str">
        <x:v>Máy lạnh Midea Inverter 2HP</x:v>
      </x:c>
      <x:c r="C15" s="30" t="str">
        <x:v>Bộ</x:v>
      </x:c>
      <x:c r="D15" s="48" t="n">
        <x:v>2</x:v>
      </x:c>
      <x:c r="E15" s="48" t="n">
        <x:v>15000000</x:v>
      </x:c>
      <x:c r="F15" s="48" t="n">
        <x:f>IF(OR(D15="",E15=""),"",D15*E15)</x:f>
        <x:v>30000000</x:v>
      </x:c>
      <x:c r="G15" s="48" t="n">
        <x:v>2</x:v>
      </x:c>
      <x:c r="H15" s="48" t="n">
        <x:v>15000000</x:v>
      </x:c>
      <x:c r="I15" s="48" t="n">
        <x:f>IF(OR(G15="",H15=""),"",G15*H15)</x:f>
        <x:v>30000000</x:v>
      </x:c>
      <x:c r="J15" s="48" t="n">
        <x:f>IF(OR(F15="",I15=""),"",I15-F15)</x:f>
        <x:v>0</x:v>
      </x:c>
      <x:c r="K15" s="30" t="str">
        <x:v>Theo BBNT</x:v>
      </x:c>
    </x:row>
    <x:row r="16">
      <x:c r="A16" s="30" t="str">
        <x:v>2</x:v>
      </x:c>
      <x:c r="B16" s="30" t="str">
        <x:v>Ống đồng + bảo ôn</x:v>
      </x:c>
      <x:c r="C16" s="30" t="str">
        <x:v>m</x:v>
      </x:c>
      <x:c r="D16" s="48" t="n">
        <x:v>15</x:v>
      </x:c>
      <x:c r="E16" s="48" t="n">
        <x:v>120000</x:v>
      </x:c>
      <x:c r="F16" s="48" t="n">
        <x:f>IF(OR(D16="",E16=""),"",D16*E16)</x:f>
        <x:v>1800000</x:v>
      </x:c>
      <x:c r="G16" s="48" t="n">
        <x:v>16</x:v>
      </x:c>
      <x:c r="H16" s="48" t="n">
        <x:v>120000</x:v>
      </x:c>
      <x:c r="I16" s="48" t="n">
        <x:f>IF(OR(G16="",H16=""),"",G16*H16)</x:f>
        <x:v>1920000</x:v>
      </x:c>
      <x:c r="J16" s="48" t="n">
        <x:f>IF(OR(F16="",I16=""),"",I16-F16)</x:f>
        <x:v>120000</x:v>
      </x:c>
      <x:c r="K16" s="30" t="str">
        <x:v>Phát sinh 1m do hiện trường</x:v>
      </x:c>
    </x:row>
    <x:row r="17">
      <x:c r="A17" s="30" t="str">
        <x:v>3</x:v>
      </x:c>
      <x:c r="B17" s="30"/>
      <x:c r="C17" s="30"/>
      <x:c r="D17" s="48"/>
      <x:c r="E17" s="48"/>
      <x:c r="F17" s="48" t="str">
        <x:f>IF(OR(D17="",E17=""),"",D17*E17)</x:f>
      </x:c>
      <x:c r="G17" s="48"/>
      <x:c r="H17" s="48"/>
      <x:c r="I17" s="48" t="str">
        <x:f>IF(OR(G17="",H17=""),"",G17*H17)</x:f>
      </x:c>
      <x:c r="J17" s="48" t="str">
        <x:f>IF(OR(F17="",I17=""),"",I17-F17)</x:f>
      </x:c>
      <x:c r="K17" s="30"/>
    </x:row>
    <x:row r="18">
      <x:c r="A18" s="30" t="str">
        <x:v>4</x:v>
      </x:c>
      <x:c r="B18" s="30"/>
      <x:c r="C18" s="30"/>
      <x:c r="D18" s="48"/>
      <x:c r="E18" s="48"/>
      <x:c r="F18" s="48" t="str">
        <x:f>IF(OR(D18="",E18=""),"",D18*E18)</x:f>
      </x:c>
      <x:c r="G18" s="48"/>
      <x:c r="H18" s="48"/>
      <x:c r="I18" s="48" t="str">
        <x:f>IF(OR(G18="",H18=""),"",G18*H18)</x:f>
      </x:c>
      <x:c r="J18" s="48" t="str">
        <x:f>IF(OR(F18="",I18=""),"",I18-F18)</x:f>
      </x:c>
      <x:c r="K18" s="30"/>
    </x:row>
    <x:row r="19">
      <x:c r="A19" s="30" t="str">
        <x:v>5</x:v>
      </x:c>
      <x:c r="B19" s="30"/>
      <x:c r="C19" s="30"/>
      <x:c r="D19" s="48"/>
      <x:c r="E19" s="48"/>
      <x:c r="F19" s="48" t="str">
        <x:f>IF(OR(D19="",E19=""),"",D19*E19)</x:f>
      </x:c>
      <x:c r="G19" s="48"/>
      <x:c r="H19" s="48"/>
      <x:c r="I19" s="48" t="str">
        <x:f>IF(OR(G19="",H19=""),"",G19*H19)</x:f>
      </x:c>
      <x:c r="J19" s="48" t="str">
        <x:f>IF(OR(F19="",I19=""),"",I19-F19)</x:f>
      </x:c>
      <x:c r="K19" s="30"/>
    </x:row>
    <x:row r="20">
      <x:c r="A20" s="30" t="str">
        <x:v>6</x:v>
      </x:c>
      <x:c r="B20" s="30"/>
      <x:c r="C20" s="30"/>
      <x:c r="D20" s="48"/>
      <x:c r="E20" s="48"/>
      <x:c r="F20" s="48" t="str">
        <x:f>IF(OR(D20="",E20=""),"",D20*E20)</x:f>
      </x:c>
      <x:c r="G20" s="48"/>
      <x:c r="H20" s="48"/>
      <x:c r="I20" s="48" t="str">
        <x:f>IF(OR(G20="",H20=""),"",G20*H20)</x:f>
      </x:c>
      <x:c r="J20" s="48" t="str">
        <x:f>IF(OR(F20="",I20=""),"",I20-F20)</x:f>
      </x:c>
      <x:c r="K20" s="30"/>
    </x:row>
    <x:row r="21">
      <x:c r="A21" s="30" t="str">
        <x:v>7</x:v>
      </x:c>
      <x:c r="B21" s="30"/>
      <x:c r="C21" s="30"/>
      <x:c r="D21" s="48"/>
      <x:c r="E21" s="48"/>
      <x:c r="F21" s="48" t="str">
        <x:f>IF(OR(D21="",E21=""),"",D21*E21)</x:f>
      </x:c>
      <x:c r="G21" s="48"/>
      <x:c r="H21" s="48"/>
      <x:c r="I21" s="48" t="str">
        <x:f>IF(OR(G21="",H21=""),"",G21*H21)</x:f>
      </x:c>
      <x:c r="J21" s="48" t="str">
        <x:f>IF(OR(F21="",I21=""),"",I21-F21)</x:f>
      </x:c>
      <x:c r="K21" s="30"/>
    </x:row>
    <x:row r="22">
      <x:c r="A22" s="30" t="str">
        <x:v>8</x:v>
      </x:c>
      <x:c r="B22" s="30"/>
      <x:c r="C22" s="30"/>
      <x:c r="D22" s="48"/>
      <x:c r="E22" s="48"/>
      <x:c r="F22" s="48" t="str">
        <x:f>IF(OR(D22="",E22=""),"",D22*E22)</x:f>
      </x:c>
      <x:c r="G22" s="48"/>
      <x:c r="H22" s="48"/>
      <x:c r="I22" s="48" t="str">
        <x:f>IF(OR(G22="",H22=""),"",G22*H22)</x:f>
      </x:c>
      <x:c r="J22" s="48" t="str">
        <x:f>IF(OR(F22="",I22=""),"",I22-F22)</x:f>
      </x:c>
      <x:c r="K22" s="30"/>
    </x:row>
    <x:row r="23">
      <x:c r="A23" s="30" t="str">
        <x:v>9</x:v>
      </x:c>
      <x:c r="B23" s="30"/>
      <x:c r="C23" s="30"/>
      <x:c r="D23" s="48"/>
      <x:c r="E23" s="48"/>
      <x:c r="F23" s="48" t="str">
        <x:f>IF(OR(D23="",E23=""),"",D23*E23)</x:f>
      </x:c>
      <x:c r="G23" s="48"/>
      <x:c r="H23" s="48"/>
      <x:c r="I23" s="48" t="str">
        <x:f>IF(OR(G23="",H23=""),"",G23*H23)</x:f>
      </x:c>
      <x:c r="J23" s="48" t="str">
        <x:f>IF(OR(F23="",I23=""),"",I23-F23)</x:f>
      </x:c>
      <x:c r="K23" s="30"/>
    </x:row>
    <x:row r="24">
      <x:c r="A24" s="30" t="str">
        <x:v>10</x:v>
      </x:c>
      <x:c r="B24" s="30"/>
      <x:c r="C24" s="30"/>
      <x:c r="D24" s="48"/>
      <x:c r="E24" s="48"/>
      <x:c r="F24" s="48" t="str">
        <x:f>IF(OR(D24="",E24=""),"",D24*E24)</x:f>
      </x:c>
      <x:c r="G24" s="48"/>
      <x:c r="H24" s="48"/>
      <x:c r="I24" s="48" t="str">
        <x:f>IF(OR(G24="",H24=""),"",G24*H24)</x:f>
      </x:c>
      <x:c r="J24" s="48" t="str">
        <x:f>IF(OR(F24="",I24=""),"",I24-F24)</x:f>
      </x:c>
      <x:c r="K24" s="30"/>
    </x:row>
    <x:row r="25">
      <x:c r="A25" s="30" t="str">
        <x:v>11</x:v>
      </x:c>
      <x:c r="B25" s="30"/>
      <x:c r="C25" s="30"/>
      <x:c r="D25" s="48"/>
      <x:c r="E25" s="48"/>
      <x:c r="F25" s="48" t="str">
        <x:f>IF(OR(D25="",E25=""),"",D25*E25)</x:f>
      </x:c>
      <x:c r="G25" s="48"/>
      <x:c r="H25" s="48"/>
      <x:c r="I25" s="48" t="str">
        <x:f>IF(OR(G25="",H25=""),"",G25*H25)</x:f>
      </x:c>
      <x:c r="J25" s="48" t="str">
        <x:f>IF(OR(F25="",I25=""),"",I25-F25)</x:f>
      </x:c>
      <x:c r="K25" s="30"/>
    </x:row>
    <x:row r="26">
      <x:c r="A26" s="30" t="str">
        <x:v>12</x:v>
      </x:c>
      <x:c r="B26" s="30"/>
      <x:c r="C26" s="30"/>
      <x:c r="D26" s="48"/>
      <x:c r="E26" s="48"/>
      <x:c r="F26" s="48" t="str">
        <x:f>IF(OR(D26="",E26=""),"",D26*E26)</x:f>
      </x:c>
      <x:c r="G26" s="48"/>
      <x:c r="H26" s="48"/>
      <x:c r="I26" s="48" t="str">
        <x:f>IF(OR(G26="",H26=""),"",G26*H26)</x:f>
      </x:c>
      <x:c r="J26" s="48" t="str">
        <x:f>IF(OR(F26="",I26=""),"",I26-F26)</x:f>
      </x:c>
      <x:c r="K26" s="30"/>
    </x:row>
    <x:row r="27">
      <x:c r="A27" s="30" t="str">
        <x:v>13</x:v>
      </x:c>
      <x:c r="B27" s="30"/>
      <x:c r="C27" s="30"/>
      <x:c r="D27" s="48"/>
      <x:c r="E27" s="48"/>
      <x:c r="F27" s="48" t="str">
        <x:f>IF(OR(D27="",E27=""),"",D27*E27)</x:f>
      </x:c>
      <x:c r="G27" s="48"/>
      <x:c r="H27" s="48"/>
      <x:c r="I27" s="48" t="str">
        <x:f>IF(OR(G27="",H27=""),"",G27*H27)</x:f>
      </x:c>
      <x:c r="J27" s="48" t="str">
        <x:f>IF(OR(F27="",I27=""),"",I27-F27)</x:f>
      </x:c>
      <x:c r="K27" s="30"/>
    </x:row>
    <x:row r="28">
      <x:c r="A28" s="30" t="str">
        <x:v>14</x:v>
      </x:c>
      <x:c r="B28" s="30"/>
      <x:c r="C28" s="30"/>
      <x:c r="D28" s="48"/>
      <x:c r="E28" s="48"/>
      <x:c r="F28" s="48" t="str">
        <x:f>IF(OR(D28="",E28=""),"",D28*E28)</x:f>
      </x:c>
      <x:c r="G28" s="48"/>
      <x:c r="H28" s="48"/>
      <x:c r="I28" s="48" t="str">
        <x:f>IF(OR(G28="",H28=""),"",G28*H28)</x:f>
      </x:c>
      <x:c r="J28" s="48" t="str">
        <x:f>IF(OR(F28="",I28=""),"",I28-F28)</x:f>
      </x:c>
      <x:c r="K28" s="30"/>
    </x:row>
    <x:row r="29">
      <x:c r="A29" s="30" t="str">
        <x:v>15</x:v>
      </x:c>
      <x:c r="B29" s="30"/>
      <x:c r="C29" s="30"/>
      <x:c r="D29" s="48"/>
      <x:c r="E29" s="48"/>
      <x:c r="F29" s="48" t="str">
        <x:f>IF(OR(D29="",E29=""),"",D29*E29)</x:f>
      </x:c>
      <x:c r="G29" s="48"/>
      <x:c r="H29" s="48"/>
      <x:c r="I29" s="48" t="str">
        <x:f>IF(OR(G29="",H29=""),"",G29*H29)</x:f>
      </x:c>
      <x:c r="J29" s="48" t="str">
        <x:f>IF(OR(F29="",I29=""),"",I29-F29)</x:f>
      </x:c>
      <x:c r="K29" s="30"/>
    </x:row>
    <x:row r="30">
      <x:c r="A30" s="30" t="str">
        <x:v>16</x:v>
      </x:c>
      <x:c r="B30" s="30"/>
      <x:c r="C30" s="30"/>
      <x:c r="D30" s="48"/>
      <x:c r="E30" s="48"/>
      <x:c r="F30" s="48" t="str">
        <x:f>IF(OR(D30="",E30=""),"",D30*E30)</x:f>
      </x:c>
      <x:c r="G30" s="48"/>
      <x:c r="H30" s="48"/>
      <x:c r="I30" s="48" t="str">
        <x:f>IF(OR(G30="",H30=""),"",G30*H30)</x:f>
      </x:c>
      <x:c r="J30" s="48" t="str">
        <x:f>IF(OR(F30="",I30=""),"",I30-F30)</x:f>
      </x:c>
      <x:c r="K30" s="30"/>
    </x:row>
    <x:row r="31">
      <x:c r="A31" s="30" t="str">
        <x:v>17</x:v>
      </x:c>
      <x:c r="B31" s="30"/>
      <x:c r="C31" s="30"/>
      <x:c r="D31" s="48"/>
      <x:c r="E31" s="48"/>
      <x:c r="F31" s="48" t="str">
        <x:f>IF(OR(D31="",E31=""),"",D31*E31)</x:f>
      </x:c>
      <x:c r="G31" s="48"/>
      <x:c r="H31" s="48"/>
      <x:c r="I31" s="48" t="str">
        <x:f>IF(OR(G31="",H31=""),"",G31*H31)</x:f>
      </x:c>
      <x:c r="J31" s="48" t="str">
        <x:f>IF(OR(F31="",I31=""),"",I31-F31)</x:f>
      </x:c>
      <x:c r="K31" s="30"/>
    </x:row>
    <x:row r="32">
      <x:c r="A32" s="30" t="str">
        <x:v>18</x:v>
      </x:c>
      <x:c r="B32" s="30"/>
      <x:c r="C32" s="30"/>
      <x:c r="D32" s="48"/>
      <x:c r="E32" s="48"/>
      <x:c r="F32" s="48" t="str">
        <x:f>IF(OR(D32="",E32=""),"",D32*E32)</x:f>
      </x:c>
      <x:c r="G32" s="48"/>
      <x:c r="H32" s="48"/>
      <x:c r="I32" s="48" t="str">
        <x:f>IF(OR(G32="",H32=""),"",G32*H32)</x:f>
      </x:c>
      <x:c r="J32" s="48" t="str">
        <x:f>IF(OR(F32="",I32=""),"",I32-F32)</x:f>
      </x:c>
      <x:c r="K32" s="30"/>
    </x:row>
    <x:row r="33">
      <x:c r="A33" s="30" t="str">
        <x:v>19</x:v>
      </x:c>
      <x:c r="B33" s="30"/>
      <x:c r="C33" s="30"/>
      <x:c r="D33" s="48"/>
      <x:c r="E33" s="48"/>
      <x:c r="F33" s="48" t="str">
        <x:f>IF(OR(D33="",E33=""),"",D33*E33)</x:f>
      </x:c>
      <x:c r="G33" s="48"/>
      <x:c r="H33" s="48"/>
      <x:c r="I33" s="48" t="str">
        <x:f>IF(OR(G33="",H33=""),"",G33*H33)</x:f>
      </x:c>
      <x:c r="J33" s="48" t="str">
        <x:f>IF(OR(F33="",I33=""),"",I33-F33)</x:f>
      </x:c>
      <x:c r="K33" s="30"/>
    </x:row>
    <x:row r="34">
      <x:c r="A34" s="30" t="str">
        <x:v>20</x:v>
      </x:c>
      <x:c r="B34" s="30"/>
      <x:c r="C34" s="30"/>
      <x:c r="D34" s="48"/>
      <x:c r="E34" s="48"/>
      <x:c r="F34" s="48" t="str">
        <x:f>IF(OR(D34="",E34=""),"",D34*E34)</x:f>
      </x:c>
      <x:c r="G34" s="48"/>
      <x:c r="H34" s="48"/>
      <x:c r="I34" s="48" t="str">
        <x:f>IF(OR(G34="",H34=""),"",G34*H34)</x:f>
      </x:c>
      <x:c r="J34" s="48" t="str">
        <x:f>IF(OR(F34="",I34=""),"",I34-F34)</x:f>
      </x:c>
      <x:c r="K34" s="30"/>
    </x:row>
    <x:row r="35">
      <x:c r="A35" s="30" t="str">
        <x:v>21</x:v>
      </x:c>
      <x:c r="B35" s="30"/>
      <x:c r="C35" s="30"/>
      <x:c r="D35" s="48"/>
      <x:c r="E35" s="48"/>
      <x:c r="F35" s="48" t="str">
        <x:f>IF(OR(D35="",E35=""),"",D35*E35)</x:f>
      </x:c>
      <x:c r="G35" s="48"/>
      <x:c r="H35" s="48"/>
      <x:c r="I35" s="48" t="str">
        <x:f>IF(OR(G35="",H35=""),"",G35*H35)</x:f>
      </x:c>
      <x:c r="J35" s="48" t="str">
        <x:f>IF(OR(F35="",I35=""),"",I35-F35)</x:f>
      </x:c>
      <x:c r="K35" s="30"/>
    </x:row>
    <x:row r="36">
      <x:c r="A36" s="30" t="str">
        <x:v>22</x:v>
      </x:c>
      <x:c r="B36" s="30"/>
      <x:c r="C36" s="30"/>
      <x:c r="D36" s="48"/>
      <x:c r="E36" s="48"/>
      <x:c r="F36" s="48" t="str">
        <x:f>IF(OR(D36="",E36=""),"",D36*E36)</x:f>
      </x:c>
      <x:c r="G36" s="48"/>
      <x:c r="H36" s="48"/>
      <x:c r="I36" s="48" t="str">
        <x:f>IF(OR(G36="",H36=""),"",G36*H36)</x:f>
      </x:c>
      <x:c r="J36" s="48" t="str">
        <x:f>IF(OR(F36="",I36=""),"",I36-F36)</x:f>
      </x:c>
      <x:c r="K36" s="30"/>
    </x:row>
    <x:row r="37">
      <x:c r="A37" s="30" t="str">
        <x:v>23</x:v>
      </x:c>
      <x:c r="B37" s="30"/>
      <x:c r="C37" s="30"/>
      <x:c r="D37" s="48"/>
      <x:c r="E37" s="48"/>
      <x:c r="F37" s="48" t="str">
        <x:f>IF(OR(D37="",E37=""),"",D37*E37)</x:f>
      </x:c>
      <x:c r="G37" s="48"/>
      <x:c r="H37" s="48"/>
      <x:c r="I37" s="48" t="str">
        <x:f>IF(OR(G37="",H37=""),"",G37*H37)</x:f>
      </x:c>
      <x:c r="J37" s="48" t="str">
        <x:f>IF(OR(F37="",I37=""),"",I37-F37)</x:f>
      </x:c>
      <x:c r="K37" s="30"/>
    </x:row>
    <x:row r="38">
      <x:c r="A38" s="30" t="str">
        <x:v>24</x:v>
      </x:c>
      <x:c r="B38" s="30"/>
      <x:c r="C38" s="30"/>
      <x:c r="D38" s="48"/>
      <x:c r="E38" s="48"/>
      <x:c r="F38" s="48" t="str">
        <x:f>IF(OR(D38="",E38=""),"",D38*E38)</x:f>
      </x:c>
      <x:c r="G38" s="48"/>
      <x:c r="H38" s="48"/>
      <x:c r="I38" s="48" t="str">
        <x:f>IF(OR(G38="",H38=""),"",G38*H38)</x:f>
      </x:c>
      <x:c r="J38" s="48" t="str">
        <x:f>IF(OR(F38="",I38=""),"",I38-F38)</x:f>
      </x:c>
      <x:c r="K38" s="30"/>
    </x:row>
    <x:row r="39">
      <x:c r="A39" s="30" t="str">
        <x:v>25</x:v>
      </x:c>
      <x:c r="B39" s="30"/>
      <x:c r="C39" s="30"/>
      <x:c r="D39" s="48"/>
      <x:c r="E39" s="48"/>
      <x:c r="F39" s="48" t="str">
        <x:f>IF(OR(D39="",E39=""),"",D39*E39)</x:f>
      </x:c>
      <x:c r="G39" s="48"/>
      <x:c r="H39" s="48"/>
      <x:c r="I39" s="48" t="str">
        <x:f>IF(OR(G39="",H39=""),"",G39*H39)</x:f>
      </x:c>
      <x:c r="J39" s="48" t="str">
        <x:f>IF(OR(F39="",I39=""),"",I39-F39)</x:f>
      </x:c>
      <x:c r="K39" s="30"/>
    </x:row>
    <x:row r="40">
      <x:c r="A40" s="30" t="str">
        <x:v>26</x:v>
      </x:c>
      <x:c r="B40" s="30"/>
      <x:c r="C40" s="30"/>
      <x:c r="D40" s="48"/>
      <x:c r="E40" s="48"/>
      <x:c r="F40" s="48" t="str">
        <x:f>IF(OR(D40="",E40=""),"",D40*E40)</x:f>
      </x:c>
      <x:c r="G40" s="48"/>
      <x:c r="H40" s="48"/>
      <x:c r="I40" s="48" t="str">
        <x:f>IF(OR(G40="",H40=""),"",G40*H40)</x:f>
      </x:c>
      <x:c r="J40" s="48" t="str">
        <x:f>IF(OR(F40="",I40=""),"",I40-F40)</x:f>
      </x:c>
      <x:c r="K40" s="30"/>
    </x:row>
    <x:row r="41">
      <x:c r="A41" s="30" t="str">
        <x:v>27</x:v>
      </x:c>
      <x:c r="B41" s="30"/>
      <x:c r="C41" s="30"/>
      <x:c r="D41" s="48"/>
      <x:c r="E41" s="48"/>
      <x:c r="F41" s="48" t="str">
        <x:f>IF(OR(D41="",E41=""),"",D41*E41)</x:f>
      </x:c>
      <x:c r="G41" s="48"/>
      <x:c r="H41" s="48"/>
      <x:c r="I41" s="48" t="str">
        <x:f>IF(OR(G41="",H41=""),"",G41*H41)</x:f>
      </x:c>
      <x:c r="J41" s="48" t="str">
        <x:f>IF(OR(F41="",I41=""),"",I41-F41)</x:f>
      </x:c>
      <x:c r="K41" s="30"/>
    </x:row>
    <x:row r="42">
      <x:c r="A42" s="30" t="str">
        <x:v>28</x:v>
      </x:c>
      <x:c r="B42" s="30"/>
      <x:c r="C42" s="30"/>
      <x:c r="D42" s="48"/>
      <x:c r="E42" s="48"/>
      <x:c r="F42" s="48" t="str">
        <x:f>IF(OR(D42="",E42=""),"",D42*E42)</x:f>
      </x:c>
      <x:c r="G42" s="48"/>
      <x:c r="H42" s="48"/>
      <x:c r="I42" s="48" t="str">
        <x:f>IF(OR(G42="",H42=""),"",G42*H42)</x:f>
      </x:c>
      <x:c r="J42" s="48" t="str">
        <x:f>IF(OR(F42="",I42=""),"",I42-F42)</x:f>
      </x:c>
      <x:c r="K42" s="30"/>
    </x:row>
    <x:row r="43">
      <x:c r="A43" s="30" t="str">
        <x:v>29</x:v>
      </x:c>
      <x:c r="B43" s="30"/>
      <x:c r="C43" s="30"/>
      <x:c r="D43" s="48"/>
      <x:c r="E43" s="48"/>
      <x:c r="F43" s="48" t="str">
        <x:f>IF(OR(D43="",E43=""),"",D43*E43)</x:f>
      </x:c>
      <x:c r="G43" s="48"/>
      <x:c r="H43" s="48"/>
      <x:c r="I43" s="48" t="str">
        <x:f>IF(OR(G43="",H43=""),"",G43*H43)</x:f>
      </x:c>
      <x:c r="J43" s="48" t="str">
        <x:f>IF(OR(F43="",I43=""),"",I43-F43)</x:f>
      </x:c>
      <x:c r="K43" s="30"/>
    </x:row>
    <x:row r="44">
      <x:c r="A44" s="30" t="str">
        <x:v>30</x:v>
      </x:c>
      <x:c r="B44" s="30"/>
      <x:c r="C44" s="30"/>
      <x:c r="D44" s="48"/>
      <x:c r="E44" s="48"/>
      <x:c r="F44" s="48" t="str">
        <x:f>IF(OR(D44="",E44=""),"",D44*E44)</x:f>
      </x:c>
      <x:c r="G44" s="48"/>
      <x:c r="H44" s="48"/>
      <x:c r="I44" s="48" t="str">
        <x:f>IF(OR(G44="",H44=""),"",G44*H44)</x:f>
      </x:c>
      <x:c r="J44" s="48" t="str">
        <x:f>IF(OR(F44="",I44=""),"",I44-F44)</x:f>
      </x:c>
      <x:c r="K44" s="30"/>
    </x:row>
    <x:row r="45">
      <x:c r="A45" s="30" t="str">
        <x:v>31</x:v>
      </x:c>
      <x:c r="B45" s="30"/>
      <x:c r="C45" s="30"/>
      <x:c r="D45" s="48"/>
      <x:c r="E45" s="48"/>
      <x:c r="F45" s="48" t="str">
        <x:f>IF(OR(D45="",E45=""),"",D45*E45)</x:f>
      </x:c>
      <x:c r="G45" s="48"/>
      <x:c r="H45" s="48"/>
      <x:c r="I45" s="48" t="str">
        <x:f>IF(OR(G45="",H45=""),"",G45*H45)</x:f>
      </x:c>
      <x:c r="J45" s="48" t="str">
        <x:f>IF(OR(F45="",I45=""),"",I45-F45)</x:f>
      </x:c>
      <x:c r="K45" s="30"/>
    </x:row>
    <x:row r="46">
      <x:c r="A46" s="30" t="str">
        <x:v>32</x:v>
      </x:c>
      <x:c r="B46" s="30"/>
      <x:c r="C46" s="30"/>
      <x:c r="D46" s="48"/>
      <x:c r="E46" s="48"/>
      <x:c r="F46" s="48" t="str">
        <x:f>IF(OR(D46="",E46=""),"",D46*E46)</x:f>
      </x:c>
      <x:c r="G46" s="48"/>
      <x:c r="H46" s="48"/>
      <x:c r="I46" s="48" t="str">
        <x:f>IF(OR(G46="",H46=""),"",G46*H46)</x:f>
      </x:c>
      <x:c r="J46" s="48" t="str">
        <x:f>IF(OR(F46="",I46=""),"",I46-F46)</x:f>
      </x:c>
      <x:c r="K46" s="30"/>
    </x:row>
    <x:row r="47">
      <x:c r="A47" s="30" t="str">
        <x:v>33</x:v>
      </x:c>
      <x:c r="B47" s="30"/>
      <x:c r="C47" s="30"/>
      <x:c r="D47" s="48"/>
      <x:c r="E47" s="48"/>
      <x:c r="F47" s="48" t="str">
        <x:f>IF(OR(D47="",E47=""),"",D47*E47)</x:f>
      </x:c>
      <x:c r="G47" s="48"/>
      <x:c r="H47" s="48"/>
      <x:c r="I47" s="48" t="str">
        <x:f>IF(OR(G47="",H47=""),"",G47*H47)</x:f>
      </x:c>
      <x:c r="J47" s="48" t="str">
        <x:f>IF(OR(F47="",I47=""),"",I47-F47)</x:f>
      </x:c>
      <x:c r="K47" s="30"/>
    </x:row>
    <x:row r="48">
      <x:c r="A48" s="30" t="str">
        <x:v>34</x:v>
      </x:c>
      <x:c r="B48" s="30"/>
      <x:c r="C48" s="30"/>
      <x:c r="D48" s="48"/>
      <x:c r="E48" s="48"/>
      <x:c r="F48" s="48" t="str">
        <x:f>IF(OR(D48="",E48=""),"",D48*E48)</x:f>
      </x:c>
      <x:c r="G48" s="48"/>
      <x:c r="H48" s="48"/>
      <x:c r="I48" s="48" t="str">
        <x:f>IF(OR(G48="",H48=""),"",G48*H48)</x:f>
      </x:c>
      <x:c r="J48" s="48" t="str">
        <x:f>IF(OR(F48="",I48=""),"",I48-F48)</x:f>
      </x:c>
      <x:c r="K48" s="30"/>
    </x:row>
    <x:row r="49">
      <x:c r="A49" s="30" t="str">
        <x:v>35</x:v>
      </x:c>
      <x:c r="B49" s="30"/>
      <x:c r="C49" s="30"/>
      <x:c r="D49" s="48"/>
      <x:c r="E49" s="48"/>
      <x:c r="F49" s="48" t="str">
        <x:f>IF(OR(D49="",E49=""),"",D49*E49)</x:f>
      </x:c>
      <x:c r="G49" s="48"/>
      <x:c r="H49" s="48"/>
      <x:c r="I49" s="48" t="str">
        <x:f>IF(OR(G49="",H49=""),"",G49*H49)</x:f>
      </x:c>
      <x:c r="J49" s="48" t="str">
        <x:f>IF(OR(F49="",I49=""),"",I49-F49)</x:f>
      </x:c>
      <x:c r="K49" s="30"/>
    </x:row>
    <x:row r="50">
      <x:c r="A50" s="30" t="str">
        <x:v>36</x:v>
      </x:c>
      <x:c r="B50" s="30"/>
      <x:c r="C50" s="30"/>
      <x:c r="D50" s="48"/>
      <x:c r="E50" s="48"/>
      <x:c r="F50" s="48" t="str">
        <x:f>IF(OR(D50="",E50=""),"",D50*E50)</x:f>
      </x:c>
      <x:c r="G50" s="48"/>
      <x:c r="H50" s="48"/>
      <x:c r="I50" s="48" t="str">
        <x:f>IF(OR(G50="",H50=""),"",G50*H50)</x:f>
      </x:c>
      <x:c r="J50" s="48" t="str">
        <x:f>IF(OR(F50="",I50=""),"",I50-F50)</x:f>
      </x:c>
      <x:c r="K50" s="30"/>
    </x:row>
    <x:row r="51">
      <x:c r="A51" s="30" t="str">
        <x:v>37</x:v>
      </x:c>
      <x:c r="B51" s="30"/>
      <x:c r="C51" s="30"/>
      <x:c r="D51" s="48"/>
      <x:c r="E51" s="48"/>
      <x:c r="F51" s="48" t="str">
        <x:f>IF(OR(D51="",E51=""),"",D51*E51)</x:f>
      </x:c>
      <x:c r="G51" s="48"/>
      <x:c r="H51" s="48"/>
      <x:c r="I51" s="48" t="str">
        <x:f>IF(OR(G51="",H51=""),"",G51*H51)</x:f>
      </x:c>
      <x:c r="J51" s="48" t="str">
        <x:f>IF(OR(F51="",I51=""),"",I51-F51)</x:f>
      </x:c>
      <x:c r="K51" s="30"/>
    </x:row>
    <x:row r="52">
      <x:c r="A52" s="30" t="str">
        <x:v>38</x:v>
      </x:c>
      <x:c r="B52" s="30"/>
      <x:c r="C52" s="30"/>
      <x:c r="D52" s="48"/>
      <x:c r="E52" s="48"/>
      <x:c r="F52" s="48" t="str">
        <x:f>IF(OR(D52="",E52=""),"",D52*E52)</x:f>
      </x:c>
      <x:c r="G52" s="48"/>
      <x:c r="H52" s="48"/>
      <x:c r="I52" s="48" t="str">
        <x:f>IF(OR(G52="",H52=""),"",G52*H52)</x:f>
      </x:c>
      <x:c r="J52" s="48" t="str">
        <x:f>IF(OR(F52="",I52=""),"",I52-F52)</x:f>
      </x:c>
      <x:c r="K52" s="30"/>
    </x:row>
    <x:row r="53">
      <x:c r="A53" s="30" t="str">
        <x:v>39</x:v>
      </x:c>
      <x:c r="B53" s="30"/>
      <x:c r="C53" s="30"/>
      <x:c r="D53" s="48"/>
      <x:c r="E53" s="48"/>
      <x:c r="F53" s="48" t="str">
        <x:f>IF(OR(D53="",E53=""),"",D53*E53)</x:f>
      </x:c>
      <x:c r="G53" s="48"/>
      <x:c r="H53" s="48"/>
      <x:c r="I53" s="48" t="str">
        <x:f>IF(OR(G53="",H53=""),"",G53*H53)</x:f>
      </x:c>
      <x:c r="J53" s="48" t="str">
        <x:f>IF(OR(F53="",I53=""),"",I53-F53)</x:f>
      </x:c>
      <x:c r="K53" s="30"/>
    </x:row>
    <x:row r="54">
      <x:c r="A54" s="30" t="str">
        <x:v>40</x:v>
      </x:c>
      <x:c r="B54" s="30"/>
      <x:c r="C54" s="30"/>
      <x:c r="D54" s="48"/>
      <x:c r="E54" s="48"/>
      <x:c r="F54" s="48" t="str">
        <x:f>IF(OR(D54="",E54=""),"",D54*E54)</x:f>
      </x:c>
      <x:c r="G54" s="48"/>
      <x:c r="H54" s="48"/>
      <x:c r="I54" s="48" t="str">
        <x:f>IF(OR(G54="",H54=""),"",G54*H54)</x:f>
      </x:c>
      <x:c r="J54" s="48" t="str">
        <x:f>IF(OR(F54="",I54=""),"",I54-F54)</x:f>
      </x:c>
      <x:c r="K54" s="30"/>
    </x:row>
    <x:row r="56">
      <x:c r="H56" s="51" t="str">
        <x:v>Tổng theo báo giá</x:v>
      </x:c>
      <x:c r="I56" s="55" t="n">
        <x:f>SUM(F15:F54)</x:f>
        <x:v>31800000</x:v>
      </x:c>
    </x:row>
    <x:row r="57">
      <x:c r="H57" s="51" t="str">
        <x:v>Tổng thực tế</x:v>
      </x:c>
      <x:c r="I57" s="55" t="n">
        <x:f>SUM(I15:I54)</x:f>
        <x:v>31920000</x:v>
      </x:c>
    </x:row>
    <x:row r="58">
      <x:c r="H58" s="51" t="str">
        <x:v>Tổng phát sinh</x:v>
      </x:c>
      <x:c r="I58" s="55" t="n">
        <x:f>I57-I56</x:f>
        <x:v>120000</x:v>
      </x:c>
    </x:row>
    <x:row r="59">
      <x:c r="H59" s="51" t="str">
        <x:v>VAT</x:v>
      </x:c>
      <x:c r="I59" s="55" t="e" cm="1">
        <x:f t="array" ref="I59">I57*{{vat_rate_number}}</x:f>
      </x:c>
    </x:row>
    <x:row r="60">
      <x:c r="H60" s="51" t="str">
        <x:v>Giá trị quyết toán</x:v>
      </x:c>
      <x:c r="I60" s="55" t="e">
        <x:f>I57+I59</x:f>
      </x:c>
    </x:row>
    <x:row r="61">
      <x:c r="H61" s="51" t="str">
        <x:v>Đã thanh toán</x:v>
      </x:c>
      <x:c r="I61" s="55" t="n">
        <x:v>0</x:v>
      </x:c>
    </x:row>
    <x:row r="62">
      <x:c r="H62" s="51" t="str">
        <x:v>Còn phải thu</x:v>
      </x:c>
      <x:c r="I62" s="55" t="e">
        <x:f>I60-I61</x:f>
      </x:c>
    </x:row>
    <x:row r="63">
      <x:c r="H63" t="str">
        <x:v>Bằng chữ</x:v>
      </x:c>
      <x:c r="I63" t="str">
        <x:v>{{remaining_in_words}}</x:v>
      </x:c>
    </x:row>
    <x:row r="66">
      <x:c r="A66" s="30" t="str">
        <x:v>Thuyết minh chênh lệch</x:v>
      </x:c>
      <x:c r="B66" s="30" t="str">
        <x:v>{{variance_explanation}}</x:v>
      </x:c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 t="str">
        <x:v>Kết luận</x:v>
      </x:c>
      <x:c r="B67" s="30" t="str">
        <x:v>Hai bên thống nhất giá trị quyết toán và số tiền còn phải thu như trên.</x:v>
      </x:c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 t="str">
        <x:v>File scan ERP</x:v>
      </x:c>
      <x:c r="B68" s="30" t="str">
        <x:v>{{file_scan}}</x:v>
      </x:c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72">
      <x:c r="A72" s="58" t="str">
        <x:v>ĐẠI DIỆN BÊN A</x:v>
      </x:c>
      <x:c r="B72" s="58"/>
      <x:c r="C72" s="58"/>
      <x:c r="D72" s="58"/>
      <x:c r="G72" s="58" t="str">
        <x:v>ĐẠI DIỆN BÊN B</x:v>
      </x:c>
      <x:c r="H72" s="58"/>
      <x:c r="I72" s="58"/>
      <x:c r="J72" s="58"/>
      <x:c r="K72" s="58"/>
    </x:row>
    <x:row r="73">
      <x:c r="A73" s="62" t="str">
        <x:v>(Ký, ghi rõ họ tên, đóng dấu nếu có)</x:v>
      </x:c>
      <x:c r="B73" s="62"/>
      <x:c r="C73" s="62"/>
      <x:c r="D73" s="62"/>
      <x:c r="E73" s="62"/>
      <x:c r="F73" s="62"/>
      <x:c r="G73" s="62" t="str">
        <x:v>(Ký, ghi rõ họ tên, đóng dấu nếu có)</x:v>
      </x:c>
      <x:c r="H73" s="62"/>
      <x:c r="I73" s="62"/>
      <x:c r="J73" s="62"/>
      <x:c r="K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</x:row>
    <x:row r="82">
      <x:c r="A82" s="20" t="str">
        <x:v>Lưu ý: Đây là template chuẩn hoá phục vụ ERP/Print Format. Trước khi phát hành chính thức cần kiểm tra số liệu, điều khoản và chữ ký/dấu.</x:v>
      </x:c>
    </x:row>
  </x:sheetData>
  <x:mergeCells>
    <x:mergeCell ref="A1:K1"/>
    <x:mergeCell ref="A2:K2"/>
    <x:mergeCell ref="A82:K82"/>
    <x:mergeCell ref="A4:K4"/>
    <x:mergeCell ref="A72:D72"/>
    <x:mergeCell ref="G72:K72"/>
    <x:mergeCell ref="A73:D73"/>
    <x:mergeCell ref="G73:K73"/>
  </x:mergeCells>
  <x:pageMargins left="0.7" right="0.7" top="0.75" bottom="0.75" header="0.3" footer="0.3"/>
</x:worksheet>
</file>